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uzicka\Downloads\"/>
    </mc:Choice>
  </mc:AlternateContent>
  <xr:revisionPtr revIDLastSave="0" documentId="13_ncr:1_{64FC7114-C822-41AD-A406-D2A5DE98BB35}" xr6:coauthVersionLast="47" xr6:coauthVersionMax="47" xr10:uidLastSave="{00000000-0000-0000-0000-000000000000}"/>
  <bookViews>
    <workbookView xWindow="-120" yWindow="-120" windowWidth="51840" windowHeight="21240" xr2:uid="{EFEBF0BB-6EAE-492A-912F-6D13C5A63BEF}"/>
  </bookViews>
  <sheets>
    <sheet name="List1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2" i="1"/>
</calcChain>
</file>

<file path=xl/sharedStrings.xml><?xml version="1.0" encoding="utf-8"?>
<sst xmlns="http://schemas.openxmlformats.org/spreadsheetml/2006/main" count="400" uniqueCount="121">
  <si>
    <t>QTY</t>
  </si>
  <si>
    <t>ITEM</t>
  </si>
  <si>
    <t>SL-300 BP 01</t>
  </si>
  <si>
    <t>SL-300 BP 02</t>
  </si>
  <si>
    <t>SL-300 BP 03</t>
  </si>
  <si>
    <t>SL-300 BP 04</t>
  </si>
  <si>
    <t>SL-300 BP 08</t>
  </si>
  <si>
    <t>SL-300 BP 09</t>
  </si>
  <si>
    <t>SL-300 BP 10</t>
  </si>
  <si>
    <t>SL-300 BP 13</t>
  </si>
  <si>
    <t>SL-300 DR 01</t>
  </si>
  <si>
    <t>SL-300 DR 02</t>
  </si>
  <si>
    <t>SL-300 DR 03</t>
  </si>
  <si>
    <t>SL-300 DR 04</t>
  </si>
  <si>
    <t>SL-300 DR 12</t>
  </si>
  <si>
    <t>SL-300 DR FP 20</t>
  </si>
  <si>
    <t>SL-300 DR FP 21</t>
  </si>
  <si>
    <t>SL-300 DR FP 22</t>
  </si>
  <si>
    <t>SL-300 DR FP 23</t>
  </si>
  <si>
    <t>SL-300 DR FP 28</t>
  </si>
  <si>
    <t>SL-300 EP 01</t>
  </si>
  <si>
    <t>SL-300 EP 02</t>
  </si>
  <si>
    <t>SL-300 EP 03</t>
  </si>
  <si>
    <t>SL-300 EP 04</t>
  </si>
  <si>
    <t>SL-300 FP 10</t>
  </si>
  <si>
    <t>SL-300 FP 11</t>
  </si>
  <si>
    <t>SL-300 FP 12</t>
  </si>
  <si>
    <t>SL-300 FP 13</t>
  </si>
  <si>
    <t>SL-300 FP 14</t>
  </si>
  <si>
    <t>SL-300 FP 15</t>
  </si>
  <si>
    <t>SL-300 FP 16</t>
  </si>
  <si>
    <t>SL-300 FP 17</t>
  </si>
  <si>
    <t>SL-300 FP 18</t>
  </si>
  <si>
    <t>SL-300 FP 19</t>
  </si>
  <si>
    <t>SL-300 FP 20</t>
  </si>
  <si>
    <t>SL-300 FP 21</t>
  </si>
  <si>
    <t>SL-300 FP 22</t>
  </si>
  <si>
    <t>SL-300 FP 23</t>
  </si>
  <si>
    <t>SL-300 FP 24</t>
  </si>
  <si>
    <t>SL-300 FP 25</t>
  </si>
  <si>
    <t>SL-300 FP AD 01</t>
  </si>
  <si>
    <t>SL-300 FP AD 02</t>
  </si>
  <si>
    <t>SL-300 FP AD 03</t>
  </si>
  <si>
    <t>SL-300 FP AD 04</t>
  </si>
  <si>
    <t>SL-300 LP 01</t>
  </si>
  <si>
    <t>SL-300 LP 02</t>
  </si>
  <si>
    <t>SL-300 LP 03</t>
  </si>
  <si>
    <t>SL-300 LP 04</t>
  </si>
  <si>
    <t>SL-300 LP 05</t>
  </si>
  <si>
    <t>SL-300 LP 06</t>
  </si>
  <si>
    <t>SL-300 LP 07</t>
  </si>
  <si>
    <t>SL-300 LP 08</t>
  </si>
  <si>
    <t>SL-300 FP 30</t>
  </si>
  <si>
    <t>SL-300 FP 31</t>
  </si>
  <si>
    <t>SL-300 FP 32</t>
  </si>
  <si>
    <t>SL-300 FP 33</t>
  </si>
  <si>
    <t>SL-300 FP 34</t>
  </si>
  <si>
    <t>SL-300 FP 35</t>
  </si>
  <si>
    <t>SL-300 FP 36</t>
  </si>
  <si>
    <t>SL-300 FP 37</t>
  </si>
  <si>
    <t>SL-300 FP 38</t>
  </si>
  <si>
    <t>SL-300 FP 39</t>
  </si>
  <si>
    <t>SL-300 DR 05</t>
  </si>
  <si>
    <t>SL-300 DR 06</t>
  </si>
  <si>
    <t>SL-300 DR 07</t>
  </si>
  <si>
    <t>SL-300 DR FP 24</t>
  </si>
  <si>
    <t>SL-300 DR FP 25</t>
  </si>
  <si>
    <t>SL-300 FP 40</t>
  </si>
  <si>
    <t>SL-300 FP 41</t>
  </si>
  <si>
    <t>SL-300 FP 42</t>
  </si>
  <si>
    <t>SL-300 FP 43</t>
  </si>
  <si>
    <t>SL-300 BP 05</t>
  </si>
  <si>
    <t>SL-300 BP 06</t>
  </si>
  <si>
    <t>SL-300 BP 07</t>
  </si>
  <si>
    <t>SL-300 BP 11</t>
  </si>
  <si>
    <t>SL-300 BP 12</t>
  </si>
  <si>
    <t>SL-300 DR 08</t>
  </si>
  <si>
    <t>SL-300 DR 09</t>
  </si>
  <si>
    <t>SL-300 DR 10</t>
  </si>
  <si>
    <t>SL-300 DR 11</t>
  </si>
  <si>
    <t>SL-300 DR FP 26</t>
  </si>
  <si>
    <t>SL-300 DR FP 27</t>
  </si>
  <si>
    <t>SL-300 FP 50</t>
  </si>
  <si>
    <t>SL-300 FP 60</t>
  </si>
  <si>
    <t>SL-300 FP 61</t>
  </si>
  <si>
    <t>SL-300 FP 62</t>
  </si>
  <si>
    <t>SL-300 FP AD 65</t>
  </si>
  <si>
    <t>SL-300 FP AD 66</t>
  </si>
  <si>
    <t>SL-300 FP AD 67</t>
  </si>
  <si>
    <t>SL-300 LP 60</t>
  </si>
  <si>
    <t>NHK1</t>
  </si>
  <si>
    <t>NHK2</t>
  </si>
  <si>
    <t>NHK3</t>
  </si>
  <si>
    <t>NHK4</t>
  </si>
  <si>
    <t>NHK5</t>
  </si>
  <si>
    <t>NHK6</t>
  </si>
  <si>
    <t>NHK7</t>
  </si>
  <si>
    <t>NHK 8</t>
  </si>
  <si>
    <t>NHK 9</t>
  </si>
  <si>
    <t>NHK 10</t>
  </si>
  <si>
    <t xml:space="preserve">SL-300 </t>
  </si>
  <si>
    <t>READY TO SPRAY</t>
  </si>
  <si>
    <t xml:space="preserve"> MOLD WILL BE DONE</t>
  </si>
  <si>
    <t>MOLD DESIGNATION</t>
  </si>
  <si>
    <t>CALL OFF</t>
  </si>
  <si>
    <t>PRODUCTION (WEEK)</t>
  </si>
  <si>
    <t>37 + 38</t>
  </si>
  <si>
    <t>37 + 38 + 39</t>
  </si>
  <si>
    <t>39 + 40</t>
  </si>
  <si>
    <t>40 + 41+ 42 + 43</t>
  </si>
  <si>
    <t>44 +45 +46 + 47</t>
  </si>
  <si>
    <t>47 - 48</t>
  </si>
  <si>
    <t>48 + 49 + 50 + 51</t>
  </si>
  <si>
    <t>52 + 53 + 1 + 2</t>
  </si>
  <si>
    <t>35 + 36</t>
  </si>
  <si>
    <t>36 + 37</t>
  </si>
  <si>
    <t>40 + 41</t>
  </si>
  <si>
    <t>41 + 42</t>
  </si>
  <si>
    <t>42 + 43</t>
  </si>
  <si>
    <t>38 + 39 + 40</t>
  </si>
  <si>
    <t>38 + 39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</si>
</sst>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4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9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3" borderId="0" xfId="0" applyFill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ální" xfId="0" builtinId="0"/>
  </cellStyles>
  <dxfs count="16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  <fill>
        <patternFill patternType="solid">
          <fgColor indexed="64"/>
          <bgColor rgb="FFFF6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D97C3-9811-415E-8399-46804A3C6545}" name="Tabulka1" displayName="Tabulka1" ref="A1:F108" totalsRowShown="0" headerRowDxfId="15" dataDxfId="13" headerRowBorderDxfId="14" tableBorderDxfId="12" totalsRowBorderDxfId="11">
  <autoFilter ref="A1:F108" xr:uid="{36CD97C3-9811-415E-8399-46804A3C6545}"/>
  <tableColumns count="6">
    <tableColumn id="1" xr3:uid="{7A58A5B3-A24F-485E-9FFD-E6A389EC4AEF}" name="ITEM" dataDxfId="5"/>
    <tableColumn id="2" xr3:uid="{E7C13743-62AC-4E7A-9B6B-FC9D3B8BBF99}" name="QTY" dataDxfId="4"/>
    <tableColumn id="3" xr3:uid="{A32761D3-7F2F-4A13-95E1-3B8100513A7B}" name="CALL OFF" dataDxfId="3"/>
    <tableColumn id="4" xr3:uid="{FA7C5BCE-B63D-4C58-8F3E-C393B9D03721}" name="MOLD DESIGNATION" dataDxfId="2">
      <calculatedColumnFormula>VLOOKUP(A2,List2!$B$2:$C$115,2,0)</calculatedColumnFormula>
    </tableColumn>
    <tableColumn id="5" xr3:uid="{9176BF16-ED59-4685-A72E-31376BE88C08}" name=" MOLD WILL BE DONE" dataDxfId="1"/>
    <tableColumn id="6" xr3:uid="{A0AAAC53-9783-40F7-81D9-A963A7F87ADE}" name="PRODUCTION (WEEK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8105-B1F5-4B45-A01C-DA0AE7AA32F6}">
  <sheetPr codeName="List1"/>
  <dimension ref="A1:F108"/>
  <sheetViews>
    <sheetView tabSelected="1" topLeftCell="A77" workbookViewId="0">
      <selection activeCell="K97" sqref="K97"/>
    </sheetView>
  </sheetViews>
  <sheetFormatPr defaultRowHeight="15" x14ac:dyDescent="0.25"/>
  <cols>
    <col min="1" max="1" width="14.5703125" bestFit="1" customWidth="1"/>
    <col min="2" max="2" width="14.28515625" customWidth="1"/>
    <col min="3" max="3" width="15.7109375" bestFit="1" customWidth="1"/>
    <col min="4" max="4" width="22.140625" bestFit="1" customWidth="1"/>
    <col min="5" max="5" width="26.85546875" bestFit="1" customWidth="1"/>
    <col min="6" max="6" width="25.5703125" customWidth="1"/>
  </cols>
  <sheetData>
    <row r="1" spans="1:6" ht="15.75" thickBot="1" x14ac:dyDescent="0.3">
      <c r="A1" s="6" t="s">
        <v>1</v>
      </c>
      <c r="B1" s="7" t="s">
        <v>0</v>
      </c>
      <c r="C1" s="7" t="s">
        <v>104</v>
      </c>
      <c r="D1" s="7" t="s">
        <v>103</v>
      </c>
      <c r="E1" s="8" t="s">
        <v>102</v>
      </c>
      <c r="F1" s="7" t="s">
        <v>105</v>
      </c>
    </row>
    <row r="2" spans="1:6" ht="18.75" x14ac:dyDescent="0.25">
      <c r="A2" s="9" t="s">
        <v>2</v>
      </c>
      <c r="B2" s="10">
        <v>3</v>
      </c>
      <c r="C2" s="11">
        <v>1</v>
      </c>
      <c r="D2" s="10" t="str">
        <f>VLOOKUP(A2,List2!$B$2:$C$115,2,0)</f>
        <v>NHK 10</v>
      </c>
      <c r="E2" s="12">
        <v>46247</v>
      </c>
      <c r="F2" s="13">
        <v>37</v>
      </c>
    </row>
    <row r="3" spans="1:6" ht="18.75" x14ac:dyDescent="0.25">
      <c r="A3" s="14" t="s">
        <v>3</v>
      </c>
      <c r="B3" s="4">
        <v>6</v>
      </c>
      <c r="C3" s="1">
        <v>1</v>
      </c>
      <c r="D3" s="4" t="str">
        <f>VLOOKUP(A3,List2!$B$2:$C$115,2,0)</f>
        <v>NHK3</v>
      </c>
      <c r="E3" s="15">
        <v>46262</v>
      </c>
      <c r="F3" s="16" t="s">
        <v>106</v>
      </c>
    </row>
    <row r="4" spans="1:6" ht="18.75" x14ac:dyDescent="0.25">
      <c r="A4" s="14" t="s">
        <v>4</v>
      </c>
      <c r="B4" s="4">
        <v>1</v>
      </c>
      <c r="C4" s="1">
        <v>1</v>
      </c>
      <c r="D4" s="4" t="str">
        <f>VLOOKUP(A4,List2!$B$2:$C$115,2,0)</f>
        <v>NHK3</v>
      </c>
      <c r="E4" s="15">
        <v>46262</v>
      </c>
      <c r="F4" s="16">
        <v>38</v>
      </c>
    </row>
    <row r="5" spans="1:6" ht="18.75" x14ac:dyDescent="0.25">
      <c r="A5" s="14" t="s">
        <v>5</v>
      </c>
      <c r="B5" s="4">
        <v>1</v>
      </c>
      <c r="C5" s="1">
        <v>1</v>
      </c>
      <c r="D5" s="4" t="str">
        <f>VLOOKUP(A5,List2!$B$2:$C$115,2,0)</f>
        <v>NHK1</v>
      </c>
      <c r="E5" s="15">
        <v>46254</v>
      </c>
      <c r="F5" s="16">
        <v>41</v>
      </c>
    </row>
    <row r="6" spans="1:6" ht="18.75" x14ac:dyDescent="0.25">
      <c r="A6" s="14" t="s">
        <v>6</v>
      </c>
      <c r="B6" s="4">
        <v>1</v>
      </c>
      <c r="C6" s="1">
        <v>1</v>
      </c>
      <c r="D6" s="4" t="str">
        <f>VLOOKUP(A6,List2!$B$2:$C$115,2,0)</f>
        <v>NHK1</v>
      </c>
      <c r="E6" s="15">
        <v>46254</v>
      </c>
      <c r="F6" s="16">
        <v>41</v>
      </c>
    </row>
    <row r="7" spans="1:6" ht="18.75" x14ac:dyDescent="0.25">
      <c r="A7" s="14" t="s">
        <v>7</v>
      </c>
      <c r="B7" s="4">
        <v>2</v>
      </c>
      <c r="C7" s="1">
        <v>1</v>
      </c>
      <c r="D7" s="4" t="str">
        <f>VLOOKUP(A7,List2!$B$2:$C$115,2,0)</f>
        <v>NHK1</v>
      </c>
      <c r="E7" s="15">
        <v>46254</v>
      </c>
      <c r="F7" s="16">
        <v>41</v>
      </c>
    </row>
    <row r="8" spans="1:6" ht="18.75" x14ac:dyDescent="0.25">
      <c r="A8" s="14" t="s">
        <v>8</v>
      </c>
      <c r="B8" s="4">
        <v>1</v>
      </c>
      <c r="C8" s="1">
        <v>1</v>
      </c>
      <c r="D8" s="4" t="str">
        <f>VLOOKUP(A8,List2!$B$2:$C$115,2,0)</f>
        <v>NHK1</v>
      </c>
      <c r="E8" s="15">
        <v>46254</v>
      </c>
      <c r="F8" s="16">
        <v>41</v>
      </c>
    </row>
    <row r="9" spans="1:6" ht="18.75" x14ac:dyDescent="0.25">
      <c r="A9" s="14" t="s">
        <v>9</v>
      </c>
      <c r="B9" s="4">
        <v>2</v>
      </c>
      <c r="C9" s="1">
        <v>1</v>
      </c>
      <c r="D9" s="4" t="str">
        <f>VLOOKUP(A9,List2!$B$2:$C$115,2,0)</f>
        <v>NHK3</v>
      </c>
      <c r="E9" s="15">
        <v>46262</v>
      </c>
      <c r="F9" s="16" t="s">
        <v>120</v>
      </c>
    </row>
    <row r="10" spans="1:6" ht="18.75" x14ac:dyDescent="0.25">
      <c r="A10" s="14" t="s">
        <v>10</v>
      </c>
      <c r="B10" s="4">
        <v>3</v>
      </c>
      <c r="C10" s="1">
        <v>1</v>
      </c>
      <c r="D10" s="4" t="str">
        <f>VLOOKUP(A10,List2!$B$2:$C$115,2,0)</f>
        <v>NHK2</v>
      </c>
      <c r="E10" s="15">
        <v>46254</v>
      </c>
      <c r="F10" s="16">
        <v>42</v>
      </c>
    </row>
    <row r="11" spans="1:6" ht="18.75" x14ac:dyDescent="0.25">
      <c r="A11" s="14" t="s">
        <v>11</v>
      </c>
      <c r="B11" s="4">
        <v>1</v>
      </c>
      <c r="C11" s="1">
        <v>1</v>
      </c>
      <c r="D11" s="4" t="str">
        <f>VLOOKUP(A11,List2!$B$2:$C$115,2,0)</f>
        <v>NHK2</v>
      </c>
      <c r="E11" s="15">
        <v>46254</v>
      </c>
      <c r="F11" s="16">
        <v>43</v>
      </c>
    </row>
    <row r="12" spans="1:6" ht="18.75" x14ac:dyDescent="0.25">
      <c r="A12" s="14" t="s">
        <v>12</v>
      </c>
      <c r="B12" s="4">
        <v>1</v>
      </c>
      <c r="C12" s="1">
        <v>1</v>
      </c>
      <c r="D12" s="4" t="str">
        <f>VLOOKUP(A12,List2!$B$2:$C$115,2,0)</f>
        <v>NHK2</v>
      </c>
      <c r="E12" s="15">
        <v>46254</v>
      </c>
      <c r="F12" s="16">
        <v>43</v>
      </c>
    </row>
    <row r="13" spans="1:6" ht="18.75" x14ac:dyDescent="0.25">
      <c r="A13" s="14" t="s">
        <v>13</v>
      </c>
      <c r="B13" s="4">
        <v>1</v>
      </c>
      <c r="C13" s="1">
        <v>1</v>
      </c>
      <c r="D13" s="4" t="str">
        <f>VLOOKUP(A13,List2!$B$2:$C$115,2,0)</f>
        <v>NHK2</v>
      </c>
      <c r="E13" s="15">
        <v>46254</v>
      </c>
      <c r="F13" s="16">
        <v>43</v>
      </c>
    </row>
    <row r="14" spans="1:6" ht="18.75" x14ac:dyDescent="0.25">
      <c r="A14" s="14" t="s">
        <v>14</v>
      </c>
      <c r="B14" s="4">
        <v>1</v>
      </c>
      <c r="C14" s="1">
        <v>1</v>
      </c>
      <c r="D14" s="4" t="str">
        <f>VLOOKUP(A14,List2!$B$2:$C$115,2,0)</f>
        <v>NHK 8</v>
      </c>
      <c r="E14" s="15">
        <v>46261</v>
      </c>
      <c r="F14" s="16">
        <v>43</v>
      </c>
    </row>
    <row r="15" spans="1:6" ht="18.75" x14ac:dyDescent="0.25">
      <c r="A15" s="14" t="s">
        <v>15</v>
      </c>
      <c r="B15" s="4">
        <v>3</v>
      </c>
      <c r="C15" s="1">
        <v>1</v>
      </c>
      <c r="D15" s="4" t="str">
        <f>VLOOKUP(A15,List2!$B$2:$C$115,2,0)</f>
        <v>NHK7</v>
      </c>
      <c r="E15" s="4" t="s">
        <v>101</v>
      </c>
      <c r="F15" s="16">
        <v>35</v>
      </c>
    </row>
    <row r="16" spans="1:6" ht="18.75" x14ac:dyDescent="0.25">
      <c r="A16" s="14" t="s">
        <v>16</v>
      </c>
      <c r="B16" s="4">
        <v>1</v>
      </c>
      <c r="C16" s="1">
        <v>1</v>
      </c>
      <c r="D16" s="4" t="str">
        <f>VLOOKUP(A16,List2!$B$2:$C$115,2,0)</f>
        <v>NHK7</v>
      </c>
      <c r="E16" s="4" t="s">
        <v>101</v>
      </c>
      <c r="F16" s="16">
        <v>35</v>
      </c>
    </row>
    <row r="17" spans="1:6" ht="18.75" x14ac:dyDescent="0.25">
      <c r="A17" s="14" t="s">
        <v>17</v>
      </c>
      <c r="B17" s="4">
        <v>1</v>
      </c>
      <c r="C17" s="1">
        <v>1</v>
      </c>
      <c r="D17" s="4" t="str">
        <f>VLOOKUP(A17,List2!$B$2:$C$115,2,0)</f>
        <v>NHK7</v>
      </c>
      <c r="E17" s="4" t="s">
        <v>101</v>
      </c>
      <c r="F17" s="16">
        <v>35</v>
      </c>
    </row>
    <row r="18" spans="1:6" ht="18.75" x14ac:dyDescent="0.25">
      <c r="A18" s="14" t="s">
        <v>18</v>
      </c>
      <c r="B18" s="4">
        <v>1</v>
      </c>
      <c r="C18" s="1">
        <v>1</v>
      </c>
      <c r="D18" s="4" t="str">
        <f>VLOOKUP(A18,List2!$B$2:$C$115,2,0)</f>
        <v>NHK7</v>
      </c>
      <c r="E18" s="4" t="s">
        <v>101</v>
      </c>
      <c r="F18" s="16">
        <v>36</v>
      </c>
    </row>
    <row r="19" spans="1:6" ht="18.75" x14ac:dyDescent="0.25">
      <c r="A19" s="14" t="s">
        <v>19</v>
      </c>
      <c r="B19" s="4">
        <v>1</v>
      </c>
      <c r="C19" s="1">
        <v>1</v>
      </c>
      <c r="D19" s="4" t="str">
        <f>VLOOKUP(A19,List2!$B$2:$C$115,2,0)</f>
        <v>NHK 9</v>
      </c>
      <c r="E19" s="15">
        <v>46266</v>
      </c>
      <c r="F19" s="16">
        <v>43</v>
      </c>
    </row>
    <row r="20" spans="1:6" ht="18.75" x14ac:dyDescent="0.25">
      <c r="A20" s="14" t="s">
        <v>20</v>
      </c>
      <c r="B20" s="4">
        <v>1</v>
      </c>
      <c r="C20" s="1">
        <v>1</v>
      </c>
      <c r="D20" s="4" t="str">
        <f>VLOOKUP(A20,List2!$B$2:$C$115,2,0)</f>
        <v>NHK5</v>
      </c>
      <c r="E20" s="4" t="s">
        <v>101</v>
      </c>
      <c r="F20" s="16">
        <v>35</v>
      </c>
    </row>
    <row r="21" spans="1:6" ht="18.75" x14ac:dyDescent="0.25">
      <c r="A21" s="14" t="s">
        <v>21</v>
      </c>
      <c r="B21" s="4">
        <v>1</v>
      </c>
      <c r="C21" s="1">
        <v>1</v>
      </c>
      <c r="D21" s="4" t="str">
        <f>VLOOKUP(A21,List2!$B$2:$C$115,2,0)</f>
        <v>NHK5</v>
      </c>
      <c r="E21" s="4" t="s">
        <v>101</v>
      </c>
      <c r="F21" s="16">
        <v>35</v>
      </c>
    </row>
    <row r="22" spans="1:6" ht="18.75" x14ac:dyDescent="0.25">
      <c r="A22" s="14" t="s">
        <v>22</v>
      </c>
      <c r="B22" s="4">
        <v>1</v>
      </c>
      <c r="C22" s="1">
        <v>1</v>
      </c>
      <c r="D22" s="4" t="str">
        <f>VLOOKUP(A22,List2!$B$2:$C$115,2,0)</f>
        <v>NHK5</v>
      </c>
      <c r="E22" s="4" t="s">
        <v>101</v>
      </c>
      <c r="F22" s="16">
        <v>35</v>
      </c>
    </row>
    <row r="23" spans="1:6" ht="18.75" x14ac:dyDescent="0.25">
      <c r="A23" s="14" t="s">
        <v>23</v>
      </c>
      <c r="B23" s="4">
        <v>2</v>
      </c>
      <c r="C23" s="1">
        <v>1</v>
      </c>
      <c r="D23" s="4" t="str">
        <f>VLOOKUP(A23,List2!$B$2:$C$115,2,0)</f>
        <v>NHK5</v>
      </c>
      <c r="E23" s="4" t="s">
        <v>101</v>
      </c>
      <c r="F23" s="16">
        <v>35</v>
      </c>
    </row>
    <row r="24" spans="1:6" ht="18.75" x14ac:dyDescent="0.25">
      <c r="A24" s="14" t="s">
        <v>24</v>
      </c>
      <c r="B24" s="4">
        <v>1</v>
      </c>
      <c r="C24" s="1">
        <v>1</v>
      </c>
      <c r="D24" s="4" t="str">
        <f>VLOOKUP(A24,List2!$B$2:$C$115,2,0)</f>
        <v>NHK7</v>
      </c>
      <c r="E24" s="4" t="s">
        <v>101</v>
      </c>
      <c r="F24" s="16">
        <v>36</v>
      </c>
    </row>
    <row r="25" spans="1:6" ht="18.75" x14ac:dyDescent="0.25">
      <c r="A25" s="14" t="s">
        <v>25</v>
      </c>
      <c r="B25" s="4">
        <v>2</v>
      </c>
      <c r="C25" s="1">
        <v>1</v>
      </c>
      <c r="D25" s="4" t="str">
        <f>VLOOKUP(A25,List2!$B$2:$C$115,2,0)</f>
        <v>NHK6</v>
      </c>
      <c r="E25" s="4" t="s">
        <v>101</v>
      </c>
      <c r="F25" s="16">
        <v>35</v>
      </c>
    </row>
    <row r="26" spans="1:6" ht="18.75" x14ac:dyDescent="0.25">
      <c r="A26" s="14" t="s">
        <v>26</v>
      </c>
      <c r="B26" s="4">
        <v>1</v>
      </c>
      <c r="C26" s="1">
        <v>1</v>
      </c>
      <c r="D26" s="4" t="str">
        <f>VLOOKUP(A26,List2!$B$2:$C$115,2,0)</f>
        <v>NHK6</v>
      </c>
      <c r="E26" s="4" t="s">
        <v>101</v>
      </c>
      <c r="F26" s="16">
        <v>35</v>
      </c>
    </row>
    <row r="27" spans="1:6" ht="18.75" x14ac:dyDescent="0.25">
      <c r="A27" s="14" t="s">
        <v>27</v>
      </c>
      <c r="B27" s="4">
        <v>1</v>
      </c>
      <c r="C27" s="1">
        <v>1</v>
      </c>
      <c r="D27" s="4" t="str">
        <f>VLOOKUP(A27,List2!$B$2:$C$115,2,0)</f>
        <v>NHK6</v>
      </c>
      <c r="E27" s="4" t="s">
        <v>101</v>
      </c>
      <c r="F27" s="16">
        <v>35</v>
      </c>
    </row>
    <row r="28" spans="1:6" ht="18.75" x14ac:dyDescent="0.25">
      <c r="A28" s="14" t="s">
        <v>28</v>
      </c>
      <c r="B28" s="4">
        <v>1</v>
      </c>
      <c r="C28" s="1">
        <v>1</v>
      </c>
      <c r="D28" s="4" t="str">
        <f>VLOOKUP(A28,List2!$B$2:$C$115,2,0)</f>
        <v>NHK7</v>
      </c>
      <c r="E28" s="4" t="s">
        <v>101</v>
      </c>
      <c r="F28" s="16">
        <v>36</v>
      </c>
    </row>
    <row r="29" spans="1:6" ht="18.75" x14ac:dyDescent="0.25">
      <c r="A29" s="14" t="s">
        <v>29</v>
      </c>
      <c r="B29" s="4">
        <v>3</v>
      </c>
      <c r="C29" s="1">
        <v>1</v>
      </c>
      <c r="D29" s="4" t="str">
        <f>VLOOKUP(A29,List2!$B$2:$C$115,2,0)</f>
        <v>NHK6</v>
      </c>
      <c r="E29" s="4" t="s">
        <v>101</v>
      </c>
      <c r="F29" s="16" t="s">
        <v>114</v>
      </c>
    </row>
    <row r="30" spans="1:6" ht="18.75" x14ac:dyDescent="0.25">
      <c r="A30" s="14" t="s">
        <v>30</v>
      </c>
      <c r="B30" s="4">
        <v>1</v>
      </c>
      <c r="C30" s="1">
        <v>1</v>
      </c>
      <c r="D30" s="4" t="str">
        <f>VLOOKUP(A30,List2!$B$2:$C$115,2,0)</f>
        <v>NHK6</v>
      </c>
      <c r="E30" s="4" t="s">
        <v>101</v>
      </c>
      <c r="F30" s="16">
        <v>36</v>
      </c>
    </row>
    <row r="31" spans="1:6" ht="18.75" x14ac:dyDescent="0.25">
      <c r="A31" s="14" t="s">
        <v>31</v>
      </c>
      <c r="B31" s="4">
        <v>1</v>
      </c>
      <c r="C31" s="1">
        <v>1</v>
      </c>
      <c r="D31" s="4" t="str">
        <f>VLOOKUP(A31,List2!$B$2:$C$115,2,0)</f>
        <v>NHK7</v>
      </c>
      <c r="E31" s="4" t="s">
        <v>101</v>
      </c>
      <c r="F31" s="16">
        <v>36</v>
      </c>
    </row>
    <row r="32" spans="1:6" ht="18.75" x14ac:dyDescent="0.25">
      <c r="A32" s="14" t="s">
        <v>32</v>
      </c>
      <c r="B32" s="4">
        <v>3</v>
      </c>
      <c r="C32" s="1">
        <v>1</v>
      </c>
      <c r="D32" s="4" t="str">
        <f>VLOOKUP(A32,List2!$B$2:$C$115,2,0)</f>
        <v>NHK6</v>
      </c>
      <c r="E32" s="4" t="s">
        <v>101</v>
      </c>
      <c r="F32" s="16" t="s">
        <v>115</v>
      </c>
    </row>
    <row r="33" spans="1:6" ht="18.75" x14ac:dyDescent="0.25">
      <c r="A33" s="14" t="s">
        <v>33</v>
      </c>
      <c r="B33" s="4">
        <v>1</v>
      </c>
      <c r="C33" s="1">
        <v>1</v>
      </c>
      <c r="D33" s="4" t="str">
        <f>VLOOKUP(A33,List2!$B$2:$C$115,2,0)</f>
        <v>NHK6</v>
      </c>
      <c r="E33" s="4" t="s">
        <v>101</v>
      </c>
      <c r="F33" s="16">
        <v>37</v>
      </c>
    </row>
    <row r="34" spans="1:6" ht="18.75" x14ac:dyDescent="0.25">
      <c r="A34" s="14" t="s">
        <v>34</v>
      </c>
      <c r="B34" s="4">
        <v>1</v>
      </c>
      <c r="C34" s="1">
        <v>1</v>
      </c>
      <c r="D34" s="4" t="str">
        <f>VLOOKUP(A34,List2!$B$2:$C$115,2,0)</f>
        <v>NHK7</v>
      </c>
      <c r="E34" s="4" t="s">
        <v>101</v>
      </c>
      <c r="F34" s="16">
        <v>36</v>
      </c>
    </row>
    <row r="35" spans="1:6" ht="18.75" x14ac:dyDescent="0.25">
      <c r="A35" s="14" t="s">
        <v>35</v>
      </c>
      <c r="B35" s="4">
        <v>3</v>
      </c>
      <c r="C35" s="1">
        <v>1</v>
      </c>
      <c r="D35" s="4" t="str">
        <f>VLOOKUP(A35,List2!$B$2:$C$115,2,0)</f>
        <v>NHK6</v>
      </c>
      <c r="E35" s="4" t="s">
        <v>101</v>
      </c>
      <c r="F35" s="16">
        <v>37</v>
      </c>
    </row>
    <row r="36" spans="1:6" ht="18.75" x14ac:dyDescent="0.25">
      <c r="A36" s="14" t="s">
        <v>36</v>
      </c>
      <c r="B36" s="4">
        <v>1</v>
      </c>
      <c r="C36" s="1">
        <v>1</v>
      </c>
      <c r="D36" s="4" t="str">
        <f>VLOOKUP(A36,List2!$B$2:$C$115,2,0)</f>
        <v>NHK6</v>
      </c>
      <c r="E36" s="4" t="s">
        <v>101</v>
      </c>
      <c r="F36" s="16">
        <v>38</v>
      </c>
    </row>
    <row r="37" spans="1:6" ht="18.75" x14ac:dyDescent="0.25">
      <c r="A37" s="14" t="s">
        <v>37</v>
      </c>
      <c r="B37" s="4">
        <v>1</v>
      </c>
      <c r="C37" s="1">
        <v>1</v>
      </c>
      <c r="D37" s="4" t="str">
        <f>VLOOKUP(A37,List2!$B$2:$C$115,2,0)</f>
        <v>NHK7</v>
      </c>
      <c r="E37" s="4" t="s">
        <v>101</v>
      </c>
      <c r="F37" s="16">
        <v>37</v>
      </c>
    </row>
    <row r="38" spans="1:6" ht="18.75" x14ac:dyDescent="0.25">
      <c r="A38" s="14" t="s">
        <v>38</v>
      </c>
      <c r="B38" s="4">
        <v>3</v>
      </c>
      <c r="C38" s="1">
        <v>1</v>
      </c>
      <c r="D38" s="4" t="str">
        <f>VLOOKUP(A38,List2!$B$2:$C$115,2,0)</f>
        <v>NHK6</v>
      </c>
      <c r="E38" s="4" t="s">
        <v>101</v>
      </c>
      <c r="F38" s="16">
        <v>38</v>
      </c>
    </row>
    <row r="39" spans="1:6" ht="18.75" x14ac:dyDescent="0.25">
      <c r="A39" s="14" t="s">
        <v>39</v>
      </c>
      <c r="B39" s="4">
        <v>1</v>
      </c>
      <c r="C39" s="1">
        <v>1</v>
      </c>
      <c r="D39" s="4" t="str">
        <f>VLOOKUP(A39,List2!$B$2:$C$115,2,0)</f>
        <v>NHK6</v>
      </c>
      <c r="E39" s="4" t="s">
        <v>101</v>
      </c>
      <c r="F39" s="16">
        <v>38</v>
      </c>
    </row>
    <row r="40" spans="1:6" ht="18.75" x14ac:dyDescent="0.25">
      <c r="A40" s="14" t="s">
        <v>40</v>
      </c>
      <c r="B40" s="4">
        <v>6</v>
      </c>
      <c r="C40" s="1">
        <v>1</v>
      </c>
      <c r="D40" s="4" t="str">
        <f>VLOOKUP(A40,List2!$B$2:$C$115,2,0)</f>
        <v>NHK4</v>
      </c>
      <c r="E40" s="4" t="s">
        <v>101</v>
      </c>
      <c r="F40" s="16" t="s">
        <v>114</v>
      </c>
    </row>
    <row r="41" spans="1:6" ht="18.75" x14ac:dyDescent="0.25">
      <c r="A41" s="14" t="s">
        <v>41</v>
      </c>
      <c r="B41" s="4">
        <v>6</v>
      </c>
      <c r="C41" s="1">
        <v>1</v>
      </c>
      <c r="D41" s="4" t="str">
        <f>VLOOKUP(A41,List2!$B$2:$C$115,2,0)</f>
        <v>NHK4</v>
      </c>
      <c r="E41" s="4" t="s">
        <v>101</v>
      </c>
      <c r="F41" s="16">
        <v>36</v>
      </c>
    </row>
    <row r="42" spans="1:6" ht="18.75" x14ac:dyDescent="0.25">
      <c r="A42" s="14" t="s">
        <v>42</v>
      </c>
      <c r="B42" s="4">
        <v>6</v>
      </c>
      <c r="C42" s="1">
        <v>1</v>
      </c>
      <c r="D42" s="4" t="str">
        <f>VLOOKUP(A42,List2!$B$2:$C$115,2,0)</f>
        <v>NHK4</v>
      </c>
      <c r="E42" s="4" t="s">
        <v>101</v>
      </c>
      <c r="F42" s="16" t="s">
        <v>106</v>
      </c>
    </row>
    <row r="43" spans="1:6" ht="18.75" x14ac:dyDescent="0.25">
      <c r="A43" s="14" t="s">
        <v>43</v>
      </c>
      <c r="B43" s="4">
        <v>12</v>
      </c>
      <c r="C43" s="1">
        <v>1</v>
      </c>
      <c r="D43" s="4" t="str">
        <f>VLOOKUP(A43,List2!$B$2:$C$115,2,0)</f>
        <v>NHK4</v>
      </c>
      <c r="E43" s="4" t="s">
        <v>101</v>
      </c>
      <c r="F43" s="16" t="s">
        <v>119</v>
      </c>
    </row>
    <row r="44" spans="1:6" ht="18.75" x14ac:dyDescent="0.25">
      <c r="A44" s="14" t="s">
        <v>44</v>
      </c>
      <c r="B44" s="4">
        <v>1</v>
      </c>
      <c r="C44" s="1">
        <v>1</v>
      </c>
      <c r="D44" s="4" t="str">
        <f>VLOOKUP(A44,List2!$B$2:$C$115,2,0)</f>
        <v>NHK4</v>
      </c>
      <c r="E44" s="4" t="s">
        <v>101</v>
      </c>
      <c r="F44" s="16">
        <v>40</v>
      </c>
    </row>
    <row r="45" spans="1:6" ht="18.75" x14ac:dyDescent="0.25">
      <c r="A45" s="14" t="s">
        <v>45</v>
      </c>
      <c r="B45" s="4">
        <v>1</v>
      </c>
      <c r="C45" s="1">
        <v>1</v>
      </c>
      <c r="D45" s="4" t="str">
        <f>VLOOKUP(A45,List2!$B$2:$C$115,2,0)</f>
        <v>NHK5</v>
      </c>
      <c r="E45" s="4" t="s">
        <v>101</v>
      </c>
      <c r="F45" s="16">
        <v>36</v>
      </c>
    </row>
    <row r="46" spans="1:6" ht="18.75" x14ac:dyDescent="0.25">
      <c r="A46" s="14" t="s">
        <v>46</v>
      </c>
      <c r="B46" s="4">
        <v>1</v>
      </c>
      <c r="C46" s="1">
        <v>1</v>
      </c>
      <c r="D46" s="4" t="str">
        <f>VLOOKUP(A46,List2!$B$2:$C$115,2,0)</f>
        <v>NHK4</v>
      </c>
      <c r="E46" s="4" t="s">
        <v>101</v>
      </c>
      <c r="F46" s="16">
        <v>40</v>
      </c>
    </row>
    <row r="47" spans="1:6" ht="18.75" x14ac:dyDescent="0.25">
      <c r="A47" s="14" t="s">
        <v>47</v>
      </c>
      <c r="B47" s="4">
        <v>1</v>
      </c>
      <c r="C47" s="1">
        <v>1</v>
      </c>
      <c r="D47" s="4" t="str">
        <f>VLOOKUP(A47,List2!$B$2:$C$115,2,0)</f>
        <v>NHK5</v>
      </c>
      <c r="E47" s="4" t="s">
        <v>101</v>
      </c>
      <c r="F47" s="16">
        <v>36</v>
      </c>
    </row>
    <row r="48" spans="1:6" ht="18.75" x14ac:dyDescent="0.25">
      <c r="A48" s="14" t="s">
        <v>48</v>
      </c>
      <c r="B48" s="4">
        <v>1</v>
      </c>
      <c r="C48" s="1">
        <v>1</v>
      </c>
      <c r="D48" s="4" t="str">
        <f>VLOOKUP(A48,List2!$B$2:$C$115,2,0)</f>
        <v>NHK4</v>
      </c>
      <c r="E48" s="4" t="s">
        <v>101</v>
      </c>
      <c r="F48" s="16">
        <v>41</v>
      </c>
    </row>
    <row r="49" spans="1:6" ht="18.75" x14ac:dyDescent="0.25">
      <c r="A49" s="14" t="s">
        <v>49</v>
      </c>
      <c r="B49" s="4">
        <v>1</v>
      </c>
      <c r="C49" s="1">
        <v>1</v>
      </c>
      <c r="D49" s="4" t="str">
        <f>VLOOKUP(A49,List2!$B$2:$C$115,2,0)</f>
        <v>NHK5</v>
      </c>
      <c r="E49" s="4" t="s">
        <v>101</v>
      </c>
      <c r="F49" s="16">
        <v>36</v>
      </c>
    </row>
    <row r="50" spans="1:6" ht="18.75" x14ac:dyDescent="0.25">
      <c r="A50" s="14" t="s">
        <v>50</v>
      </c>
      <c r="B50" s="4">
        <v>2</v>
      </c>
      <c r="C50" s="1">
        <v>1</v>
      </c>
      <c r="D50" s="4" t="str">
        <f>VLOOKUP(A50,List2!$B$2:$C$115,2,0)</f>
        <v>NHK4</v>
      </c>
      <c r="E50" s="4" t="s">
        <v>101</v>
      </c>
      <c r="F50" s="16">
        <v>41</v>
      </c>
    </row>
    <row r="51" spans="1:6" ht="18.75" x14ac:dyDescent="0.25">
      <c r="A51" s="14" t="s">
        <v>51</v>
      </c>
      <c r="B51" s="4">
        <v>2</v>
      </c>
      <c r="C51" s="1">
        <v>1</v>
      </c>
      <c r="D51" s="4" t="str">
        <f>VLOOKUP(A51,List2!$B$2:$C$115,2,0)</f>
        <v>NHK5</v>
      </c>
      <c r="E51" s="4" t="s">
        <v>101</v>
      </c>
      <c r="F51" s="16">
        <v>36</v>
      </c>
    </row>
    <row r="52" spans="1:6" ht="18.75" x14ac:dyDescent="0.25">
      <c r="A52" s="14" t="s">
        <v>52</v>
      </c>
      <c r="B52" s="4">
        <v>2</v>
      </c>
      <c r="C52" s="5">
        <v>2</v>
      </c>
      <c r="D52" s="4" t="str">
        <f>VLOOKUP(A52,List2!$B$2:$C$115,2,0)</f>
        <v>NHK7</v>
      </c>
      <c r="E52" s="4" t="s">
        <v>101</v>
      </c>
      <c r="F52" s="16">
        <v>37</v>
      </c>
    </row>
    <row r="53" spans="1:6" ht="18.75" x14ac:dyDescent="0.25">
      <c r="A53" s="14" t="s">
        <v>53</v>
      </c>
      <c r="B53" s="4">
        <v>8</v>
      </c>
      <c r="C53" s="5">
        <v>2</v>
      </c>
      <c r="D53" s="4" t="str">
        <f>VLOOKUP(A53,List2!$B$2:$C$115,2,0)</f>
        <v>NHK7</v>
      </c>
      <c r="E53" s="4" t="s">
        <v>101</v>
      </c>
      <c r="F53" s="16" t="s">
        <v>107</v>
      </c>
    </row>
    <row r="54" spans="1:6" ht="18.75" x14ac:dyDescent="0.25">
      <c r="A54" s="14" t="s">
        <v>54</v>
      </c>
      <c r="B54" s="4">
        <v>1</v>
      </c>
      <c r="C54" s="5">
        <v>2</v>
      </c>
      <c r="D54" s="4" t="str">
        <f>VLOOKUP(A54,List2!$B$2:$C$115,2,0)</f>
        <v>NHK7</v>
      </c>
      <c r="E54" s="4" t="s">
        <v>101</v>
      </c>
      <c r="F54" s="16">
        <v>39</v>
      </c>
    </row>
    <row r="55" spans="1:6" ht="18.75" x14ac:dyDescent="0.25">
      <c r="A55" s="14" t="s">
        <v>55</v>
      </c>
      <c r="B55" s="4">
        <v>1</v>
      </c>
      <c r="C55" s="5">
        <v>2</v>
      </c>
      <c r="D55" s="4" t="str">
        <f>VLOOKUP(A55,List2!$B$2:$C$115,2,0)</f>
        <v>NHK7</v>
      </c>
      <c r="E55" s="4" t="s">
        <v>101</v>
      </c>
      <c r="F55" s="16">
        <v>39</v>
      </c>
    </row>
    <row r="56" spans="1:6" ht="18.75" x14ac:dyDescent="0.25">
      <c r="A56" s="14" t="s">
        <v>56</v>
      </c>
      <c r="B56" s="4">
        <v>1</v>
      </c>
      <c r="C56" s="5">
        <v>2</v>
      </c>
      <c r="D56" s="4" t="str">
        <f>VLOOKUP(A56,List2!$B$2:$C$115,2,0)</f>
        <v>NHK7</v>
      </c>
      <c r="E56" s="4" t="s">
        <v>101</v>
      </c>
      <c r="F56" s="16">
        <v>39</v>
      </c>
    </row>
    <row r="57" spans="1:6" ht="18.75" x14ac:dyDescent="0.25">
      <c r="A57" s="14" t="s">
        <v>57</v>
      </c>
      <c r="B57" s="4">
        <v>2</v>
      </c>
      <c r="C57" s="5">
        <v>2</v>
      </c>
      <c r="D57" s="4" t="str">
        <f>VLOOKUP(A57,List2!$B$2:$C$115,2,0)</f>
        <v>NHK7</v>
      </c>
      <c r="E57" s="4" t="s">
        <v>101</v>
      </c>
      <c r="F57" s="16" t="s">
        <v>108</v>
      </c>
    </row>
    <row r="58" spans="1:6" ht="18.75" x14ac:dyDescent="0.25">
      <c r="A58" s="14" t="s">
        <v>58</v>
      </c>
      <c r="B58" s="4">
        <v>2</v>
      </c>
      <c r="C58" s="5">
        <v>2</v>
      </c>
      <c r="D58" s="4" t="str">
        <f>VLOOKUP(A58,List2!$B$2:$C$115,2,0)</f>
        <v>NHK7</v>
      </c>
      <c r="E58" s="4" t="s">
        <v>101</v>
      </c>
      <c r="F58" s="16">
        <v>40</v>
      </c>
    </row>
    <row r="59" spans="1:6" ht="18.75" x14ac:dyDescent="0.25">
      <c r="A59" s="14" t="s">
        <v>59</v>
      </c>
      <c r="B59" s="4">
        <v>13</v>
      </c>
      <c r="C59" s="5">
        <v>2</v>
      </c>
      <c r="D59" s="4" t="str">
        <f>VLOOKUP(A59,List2!$B$2:$C$115,2,0)</f>
        <v>NHK7</v>
      </c>
      <c r="E59" s="4" t="s">
        <v>101</v>
      </c>
      <c r="F59" s="16" t="s">
        <v>109</v>
      </c>
    </row>
    <row r="60" spans="1:6" ht="18.75" x14ac:dyDescent="0.25">
      <c r="A60" s="14" t="s">
        <v>60</v>
      </c>
      <c r="B60" s="4">
        <v>2</v>
      </c>
      <c r="C60" s="5">
        <v>2</v>
      </c>
      <c r="D60" s="4" t="str">
        <f>VLOOKUP(A60,List2!$B$2:$C$115,2,0)</f>
        <v>NHK7</v>
      </c>
      <c r="E60" s="4" t="s">
        <v>101</v>
      </c>
      <c r="F60" s="16">
        <v>43</v>
      </c>
    </row>
    <row r="61" spans="1:6" ht="18.75" x14ac:dyDescent="0.25">
      <c r="A61" s="14" t="s">
        <v>61</v>
      </c>
      <c r="B61" s="4">
        <v>13</v>
      </c>
      <c r="C61" s="5">
        <v>2</v>
      </c>
      <c r="D61" s="4" t="str">
        <f>VLOOKUP(A61,List2!$B$2:$C$115,2,0)</f>
        <v>NHK7</v>
      </c>
      <c r="E61" s="4" t="s">
        <v>101</v>
      </c>
      <c r="F61" s="16" t="s">
        <v>110</v>
      </c>
    </row>
    <row r="62" spans="1:6" ht="18.75" x14ac:dyDescent="0.25">
      <c r="A62" s="14" t="s">
        <v>62</v>
      </c>
      <c r="B62" s="4">
        <v>1</v>
      </c>
      <c r="C62" s="5">
        <v>3</v>
      </c>
      <c r="D62" s="4" t="str">
        <f>VLOOKUP(A62,List2!$B$2:$C$115,2,0)</f>
        <v>NHK2</v>
      </c>
      <c r="E62" s="15">
        <v>46254</v>
      </c>
      <c r="F62" s="16">
        <v>43</v>
      </c>
    </row>
    <row r="63" spans="1:6" ht="18.75" x14ac:dyDescent="0.25">
      <c r="A63" s="14" t="s">
        <v>63</v>
      </c>
      <c r="B63" s="4">
        <v>3</v>
      </c>
      <c r="C63" s="5">
        <v>3</v>
      </c>
      <c r="D63" s="4" t="str">
        <f>VLOOKUP(A63,List2!$B$2:$C$115,2,0)</f>
        <v>NHK2</v>
      </c>
      <c r="E63" s="15">
        <v>46254</v>
      </c>
      <c r="F63" s="16">
        <v>44</v>
      </c>
    </row>
    <row r="64" spans="1:6" ht="18.75" x14ac:dyDescent="0.25">
      <c r="A64" s="14" t="s">
        <v>64</v>
      </c>
      <c r="B64" s="4">
        <v>1</v>
      </c>
      <c r="C64" s="5">
        <v>3</v>
      </c>
      <c r="D64" s="4" t="str">
        <f>VLOOKUP(A64,List2!$B$2:$C$115,2,0)</f>
        <v>NHK2</v>
      </c>
      <c r="E64" s="15">
        <v>46254</v>
      </c>
      <c r="F64" s="16">
        <v>43</v>
      </c>
    </row>
    <row r="65" spans="1:6" ht="18.75" x14ac:dyDescent="0.25">
      <c r="A65" s="14" t="s">
        <v>65</v>
      </c>
      <c r="B65" s="4">
        <v>2</v>
      </c>
      <c r="C65" s="5">
        <v>3</v>
      </c>
      <c r="D65" s="4" t="str">
        <f>VLOOKUP(A65,List2!$B$2:$C$115,2,0)</f>
        <v>NHK7</v>
      </c>
      <c r="E65" s="4" t="s">
        <v>101</v>
      </c>
      <c r="F65" s="16">
        <v>47</v>
      </c>
    </row>
    <row r="66" spans="1:6" ht="18.75" x14ac:dyDescent="0.25">
      <c r="A66" s="14" t="s">
        <v>66</v>
      </c>
      <c r="B66" s="4">
        <v>3</v>
      </c>
      <c r="C66" s="5">
        <v>3</v>
      </c>
      <c r="D66" s="4" t="str">
        <f>VLOOKUP(A66,List2!$B$2:$C$115,2,0)</f>
        <v>NHK7</v>
      </c>
      <c r="E66" s="4" t="s">
        <v>101</v>
      </c>
      <c r="F66" s="16" t="s">
        <v>111</v>
      </c>
    </row>
    <row r="67" spans="1:6" ht="18.75" x14ac:dyDescent="0.25">
      <c r="A67" s="14" t="s">
        <v>67</v>
      </c>
      <c r="B67" s="4">
        <v>2</v>
      </c>
      <c r="C67" s="5">
        <v>3</v>
      </c>
      <c r="D67" s="4" t="str">
        <f>VLOOKUP(A67,List2!$B$2:$C$115,2,0)</f>
        <v>NHK7</v>
      </c>
      <c r="E67" s="4" t="s">
        <v>101</v>
      </c>
      <c r="F67" s="16">
        <v>48</v>
      </c>
    </row>
    <row r="68" spans="1:6" ht="18.75" x14ac:dyDescent="0.25">
      <c r="A68" s="14" t="s">
        <v>68</v>
      </c>
      <c r="B68" s="4">
        <v>13</v>
      </c>
      <c r="C68" s="5">
        <v>3</v>
      </c>
      <c r="D68" s="4" t="str">
        <f>VLOOKUP(A68,List2!$B$2:$C$115,2,0)</f>
        <v>NHK7</v>
      </c>
      <c r="E68" s="4" t="s">
        <v>101</v>
      </c>
      <c r="F68" s="16" t="s">
        <v>112</v>
      </c>
    </row>
    <row r="69" spans="1:6" ht="18.75" x14ac:dyDescent="0.25">
      <c r="A69" s="14" t="s">
        <v>69</v>
      </c>
      <c r="B69" s="4">
        <v>2</v>
      </c>
      <c r="C69" s="5">
        <v>3</v>
      </c>
      <c r="D69" s="4" t="str">
        <f>VLOOKUP(A69,List2!$B$2:$C$115,2,0)</f>
        <v>NHK7</v>
      </c>
      <c r="E69" s="4" t="s">
        <v>101</v>
      </c>
      <c r="F69" s="16">
        <v>51</v>
      </c>
    </row>
    <row r="70" spans="1:6" ht="18.75" x14ac:dyDescent="0.25">
      <c r="A70" s="14" t="s">
        <v>70</v>
      </c>
      <c r="B70" s="4">
        <v>13</v>
      </c>
      <c r="C70" s="5">
        <v>3</v>
      </c>
      <c r="D70" s="4" t="str">
        <f>VLOOKUP(A70,List2!$B$2:$C$115,2,0)</f>
        <v>NHK7</v>
      </c>
      <c r="E70" s="4" t="s">
        <v>101</v>
      </c>
      <c r="F70" s="16" t="s">
        <v>113</v>
      </c>
    </row>
    <row r="71" spans="1:6" ht="18.75" x14ac:dyDescent="0.25">
      <c r="A71" s="14" t="s">
        <v>71</v>
      </c>
      <c r="B71" s="4">
        <v>1</v>
      </c>
      <c r="C71" s="5">
        <v>4</v>
      </c>
      <c r="D71" s="4" t="str">
        <f>VLOOKUP(A71,List2!$B$2:$C$115,2,0)</f>
        <v>NHK1</v>
      </c>
      <c r="E71" s="15">
        <v>46254</v>
      </c>
      <c r="F71" s="16">
        <v>42</v>
      </c>
    </row>
    <row r="72" spans="1:6" ht="18.75" x14ac:dyDescent="0.25">
      <c r="A72" s="14" t="s">
        <v>72</v>
      </c>
      <c r="B72" s="4">
        <v>3</v>
      </c>
      <c r="C72" s="5">
        <v>4</v>
      </c>
      <c r="D72" s="4" t="str">
        <f>VLOOKUP(A72,List2!$B$2:$C$115,2,0)</f>
        <v>NHK3</v>
      </c>
      <c r="E72" s="15">
        <v>46262</v>
      </c>
      <c r="F72" s="16">
        <v>39</v>
      </c>
    </row>
    <row r="73" spans="1:6" ht="18.75" x14ac:dyDescent="0.25">
      <c r="A73" s="14" t="s">
        <v>73</v>
      </c>
      <c r="B73" s="4">
        <v>3</v>
      </c>
      <c r="C73" s="5">
        <v>4</v>
      </c>
      <c r="D73" s="4" t="str">
        <f>VLOOKUP(A73,List2!$B$2:$C$115,2,0)</f>
        <v>NHK3</v>
      </c>
      <c r="E73" s="15">
        <v>46262</v>
      </c>
      <c r="F73" s="16" t="s">
        <v>108</v>
      </c>
    </row>
    <row r="74" spans="1:6" ht="18.75" x14ac:dyDescent="0.25">
      <c r="A74" s="14" t="s">
        <v>74</v>
      </c>
      <c r="B74" s="4">
        <v>1</v>
      </c>
      <c r="C74" s="5">
        <v>4</v>
      </c>
      <c r="D74" s="4" t="str">
        <f>VLOOKUP(A74,List2!$B$2:$C$115,2,0)</f>
        <v>NHK1</v>
      </c>
      <c r="E74" s="15">
        <v>46254</v>
      </c>
      <c r="F74" s="16">
        <v>42</v>
      </c>
    </row>
    <row r="75" spans="1:6" ht="18.75" x14ac:dyDescent="0.25">
      <c r="A75" s="14" t="s">
        <v>75</v>
      </c>
      <c r="B75" s="4">
        <v>1</v>
      </c>
      <c r="C75" s="5">
        <v>4</v>
      </c>
      <c r="D75" s="4" t="str">
        <f>VLOOKUP(A75,List2!$B$2:$C$115,2,0)</f>
        <v>NHK3</v>
      </c>
      <c r="E75" s="15">
        <v>46262</v>
      </c>
      <c r="F75" s="16">
        <v>40</v>
      </c>
    </row>
    <row r="76" spans="1:6" ht="18.75" x14ac:dyDescent="0.25">
      <c r="A76" s="14" t="s">
        <v>76</v>
      </c>
      <c r="B76" s="4">
        <v>1</v>
      </c>
      <c r="C76" s="5">
        <v>4</v>
      </c>
      <c r="D76" s="4" t="str">
        <f>VLOOKUP(A76,List2!$B$2:$C$115,2,0)</f>
        <v>NHK2</v>
      </c>
      <c r="E76" s="15">
        <v>46254</v>
      </c>
      <c r="F76" s="16">
        <v>44</v>
      </c>
    </row>
    <row r="77" spans="1:6" ht="18.75" x14ac:dyDescent="0.25">
      <c r="A77" s="14" t="s">
        <v>77</v>
      </c>
      <c r="B77" s="4">
        <v>1</v>
      </c>
      <c r="C77" s="5">
        <v>4</v>
      </c>
      <c r="D77" s="4" t="str">
        <f>VLOOKUP(A77,List2!$B$2:$C$115,2,0)</f>
        <v>NHK2</v>
      </c>
      <c r="E77" s="15">
        <v>46254</v>
      </c>
      <c r="F77" s="16">
        <v>44</v>
      </c>
    </row>
    <row r="78" spans="1:6" ht="18.75" x14ac:dyDescent="0.25">
      <c r="A78" s="14" t="s">
        <v>78</v>
      </c>
      <c r="B78" s="4">
        <v>1</v>
      </c>
      <c r="C78" s="5">
        <v>4</v>
      </c>
      <c r="D78" s="4" t="str">
        <f>VLOOKUP(A78,List2!$B$2:$C$115,2,0)</f>
        <v>NHK2</v>
      </c>
      <c r="E78" s="15">
        <v>46254</v>
      </c>
      <c r="F78" s="16">
        <v>45</v>
      </c>
    </row>
    <row r="79" spans="1:6" ht="18.75" x14ac:dyDescent="0.25">
      <c r="A79" s="14" t="s">
        <v>79</v>
      </c>
      <c r="B79" s="4">
        <v>1</v>
      </c>
      <c r="C79" s="5">
        <v>4</v>
      </c>
      <c r="D79" s="4" t="str">
        <f>VLOOKUP(A79,List2!$B$2:$C$115,2,0)</f>
        <v>NHK2</v>
      </c>
      <c r="E79" s="15">
        <v>46254</v>
      </c>
      <c r="F79" s="16">
        <v>45</v>
      </c>
    </row>
    <row r="80" spans="1:6" ht="18.75" x14ac:dyDescent="0.25">
      <c r="A80" s="14" t="s">
        <v>17</v>
      </c>
      <c r="B80" s="4">
        <v>1</v>
      </c>
      <c r="C80" s="5">
        <v>4</v>
      </c>
      <c r="D80" s="4" t="str">
        <f>VLOOKUP(A80,List2!$B$2:$C$115,2,0)</f>
        <v>NHK7</v>
      </c>
      <c r="E80" s="4" t="s">
        <v>101</v>
      </c>
      <c r="F80" s="16">
        <v>2</v>
      </c>
    </row>
    <row r="81" spans="1:6" ht="18.75" x14ac:dyDescent="0.25">
      <c r="A81" s="14" t="s">
        <v>18</v>
      </c>
      <c r="B81" s="4">
        <v>1</v>
      </c>
      <c r="C81" s="5">
        <v>4</v>
      </c>
      <c r="D81" s="4" t="str">
        <f>VLOOKUP(A81,List2!$B$2:$C$115,2,0)</f>
        <v>NHK7</v>
      </c>
      <c r="E81" s="4" t="s">
        <v>101</v>
      </c>
      <c r="F81" s="16">
        <v>2</v>
      </c>
    </row>
    <row r="82" spans="1:6" ht="18.75" x14ac:dyDescent="0.25">
      <c r="A82" s="14" t="s">
        <v>80</v>
      </c>
      <c r="B82" s="4">
        <v>1</v>
      </c>
      <c r="C82" s="5">
        <v>4</v>
      </c>
      <c r="D82" s="4" t="str">
        <f>VLOOKUP(A82,List2!$B$2:$C$115,2,0)</f>
        <v>NHK7</v>
      </c>
      <c r="E82" s="4" t="s">
        <v>101</v>
      </c>
      <c r="F82" s="16">
        <v>2</v>
      </c>
    </row>
    <row r="83" spans="1:6" ht="18.75" x14ac:dyDescent="0.25">
      <c r="A83" s="14" t="s">
        <v>81</v>
      </c>
      <c r="B83" s="4">
        <v>1</v>
      </c>
      <c r="C83" s="5">
        <v>4</v>
      </c>
      <c r="D83" s="4" t="str">
        <f>VLOOKUP(A83,List2!$B$2:$C$115,2,0)</f>
        <v>NHK7</v>
      </c>
      <c r="E83" s="4" t="s">
        <v>101</v>
      </c>
      <c r="F83" s="16">
        <v>2</v>
      </c>
    </row>
    <row r="84" spans="1:6" ht="18.75" x14ac:dyDescent="0.25">
      <c r="A84" s="14" t="s">
        <v>25</v>
      </c>
      <c r="B84" s="4">
        <v>3</v>
      </c>
      <c r="C84" s="5">
        <v>4</v>
      </c>
      <c r="D84" s="4" t="str">
        <f>VLOOKUP(A84,List2!$B$2:$C$115,2,0)</f>
        <v>NHK6</v>
      </c>
      <c r="E84" s="4" t="s">
        <v>101</v>
      </c>
      <c r="F84" s="16">
        <v>39</v>
      </c>
    </row>
    <row r="85" spans="1:6" ht="18.75" x14ac:dyDescent="0.25">
      <c r="A85" s="14" t="s">
        <v>27</v>
      </c>
      <c r="B85" s="4">
        <v>1</v>
      </c>
      <c r="C85" s="5">
        <v>4</v>
      </c>
      <c r="D85" s="4" t="str">
        <f>VLOOKUP(A85,List2!$B$2:$C$115,2,0)</f>
        <v>NHK6</v>
      </c>
      <c r="E85" s="4" t="s">
        <v>101</v>
      </c>
      <c r="F85" s="16">
        <v>39</v>
      </c>
    </row>
    <row r="86" spans="1:6" ht="18.75" x14ac:dyDescent="0.25">
      <c r="A86" s="14" t="s">
        <v>28</v>
      </c>
      <c r="B86" s="4">
        <v>1</v>
      </c>
      <c r="C86" s="5">
        <v>4</v>
      </c>
      <c r="D86" s="4" t="str">
        <f>VLOOKUP(A86,List2!$B$2:$C$115,2,0)</f>
        <v>NHK7</v>
      </c>
      <c r="E86" s="4" t="s">
        <v>101</v>
      </c>
      <c r="F86" s="16">
        <v>3</v>
      </c>
    </row>
    <row r="87" spans="1:6" ht="18.75" x14ac:dyDescent="0.25">
      <c r="A87" s="14" t="s">
        <v>29</v>
      </c>
      <c r="B87" s="4">
        <v>3</v>
      </c>
      <c r="C87" s="5">
        <v>4</v>
      </c>
      <c r="D87" s="4" t="str">
        <f>VLOOKUP(A87,List2!$B$2:$C$115,2,0)</f>
        <v>NHK6</v>
      </c>
      <c r="E87" s="4" t="s">
        <v>101</v>
      </c>
      <c r="F87" s="16" t="s">
        <v>108</v>
      </c>
    </row>
    <row r="88" spans="1:6" ht="18.75" x14ac:dyDescent="0.25">
      <c r="A88" s="14" t="s">
        <v>30</v>
      </c>
      <c r="B88" s="4">
        <v>1</v>
      </c>
      <c r="C88" s="5">
        <v>4</v>
      </c>
      <c r="D88" s="4" t="str">
        <f>VLOOKUP(A88,List2!$B$2:$C$115,2,0)</f>
        <v>NHK6</v>
      </c>
      <c r="E88" s="4" t="s">
        <v>101</v>
      </c>
      <c r="F88" s="16">
        <v>40</v>
      </c>
    </row>
    <row r="89" spans="1:6" ht="18.75" x14ac:dyDescent="0.25">
      <c r="A89" s="14" t="s">
        <v>31</v>
      </c>
      <c r="B89" s="4">
        <v>1</v>
      </c>
      <c r="C89" s="5">
        <v>4</v>
      </c>
      <c r="D89" s="4" t="str">
        <f>VLOOKUP(A89,List2!$B$2:$C$115,2,0)</f>
        <v>NHK7</v>
      </c>
      <c r="E89" s="4" t="s">
        <v>101</v>
      </c>
      <c r="F89" s="16">
        <v>3</v>
      </c>
    </row>
    <row r="90" spans="1:6" ht="18.75" x14ac:dyDescent="0.25">
      <c r="A90" s="14" t="s">
        <v>32</v>
      </c>
      <c r="B90" s="4">
        <v>3</v>
      </c>
      <c r="C90" s="5">
        <v>4</v>
      </c>
      <c r="D90" s="4" t="str">
        <f>VLOOKUP(A90,List2!$B$2:$C$115,2,0)</f>
        <v>NHK6</v>
      </c>
      <c r="E90" s="4" t="s">
        <v>101</v>
      </c>
      <c r="F90" s="16" t="s">
        <v>116</v>
      </c>
    </row>
    <row r="91" spans="1:6" ht="18.75" x14ac:dyDescent="0.25">
      <c r="A91" s="14" t="s">
        <v>33</v>
      </c>
      <c r="B91" s="4">
        <v>1</v>
      </c>
      <c r="C91" s="5">
        <v>4</v>
      </c>
      <c r="D91" s="4" t="str">
        <f>VLOOKUP(A91,List2!$B$2:$C$115,2,0)</f>
        <v>NHK6</v>
      </c>
      <c r="E91" s="4" t="s">
        <v>101</v>
      </c>
      <c r="F91" s="16">
        <v>41</v>
      </c>
    </row>
    <row r="92" spans="1:6" ht="18.75" x14ac:dyDescent="0.25">
      <c r="A92" s="14" t="s">
        <v>34</v>
      </c>
      <c r="B92" s="4">
        <v>1</v>
      </c>
      <c r="C92" s="5">
        <v>4</v>
      </c>
      <c r="D92" s="4" t="str">
        <f>VLOOKUP(A92,List2!$B$2:$C$115,2,0)</f>
        <v>NHK7</v>
      </c>
      <c r="E92" s="4" t="s">
        <v>101</v>
      </c>
      <c r="F92" s="16">
        <v>3</v>
      </c>
    </row>
    <row r="93" spans="1:6" ht="18.75" x14ac:dyDescent="0.25">
      <c r="A93" s="14" t="s">
        <v>35</v>
      </c>
      <c r="B93" s="4">
        <v>3</v>
      </c>
      <c r="C93" s="5">
        <v>4</v>
      </c>
      <c r="D93" s="4" t="str">
        <f>VLOOKUP(A93,List2!$B$2:$C$115,2,0)</f>
        <v>NHK6</v>
      </c>
      <c r="E93" s="4" t="s">
        <v>101</v>
      </c>
      <c r="F93" s="16" t="s">
        <v>117</v>
      </c>
    </row>
    <row r="94" spans="1:6" ht="18.75" x14ac:dyDescent="0.25">
      <c r="A94" s="14" t="s">
        <v>36</v>
      </c>
      <c r="B94" s="4">
        <v>1</v>
      </c>
      <c r="C94" s="5">
        <v>4</v>
      </c>
      <c r="D94" s="4" t="str">
        <f>VLOOKUP(A94,List2!$B$2:$C$115,2,0)</f>
        <v>NHK6</v>
      </c>
      <c r="E94" s="4" t="s">
        <v>101</v>
      </c>
      <c r="F94" s="16">
        <v>42</v>
      </c>
    </row>
    <row r="95" spans="1:6" ht="18.75" x14ac:dyDescent="0.25">
      <c r="A95" s="14" t="s">
        <v>37</v>
      </c>
      <c r="B95" s="4">
        <v>1</v>
      </c>
      <c r="C95" s="5">
        <v>4</v>
      </c>
      <c r="D95" s="4" t="str">
        <f>VLOOKUP(A95,List2!$B$2:$C$115,2,0)</f>
        <v>NHK7</v>
      </c>
      <c r="E95" s="4" t="s">
        <v>101</v>
      </c>
      <c r="F95" s="16">
        <v>3</v>
      </c>
    </row>
    <row r="96" spans="1:6" ht="18.75" x14ac:dyDescent="0.25">
      <c r="A96" s="14" t="s">
        <v>38</v>
      </c>
      <c r="B96" s="4">
        <v>3</v>
      </c>
      <c r="C96" s="5">
        <v>4</v>
      </c>
      <c r="D96" s="4" t="str">
        <f>VLOOKUP(A96,List2!$B$2:$C$115,2,0)</f>
        <v>NHK6</v>
      </c>
      <c r="E96" s="4" t="s">
        <v>101</v>
      </c>
      <c r="F96" s="16" t="s">
        <v>118</v>
      </c>
    </row>
    <row r="97" spans="1:6" ht="18.75" x14ac:dyDescent="0.25">
      <c r="A97" s="14" t="s">
        <v>39</v>
      </c>
      <c r="B97" s="4">
        <v>1</v>
      </c>
      <c r="C97" s="5">
        <v>4</v>
      </c>
      <c r="D97" s="4" t="str">
        <f>VLOOKUP(A97,List2!$B$2:$C$115,2,0)</f>
        <v>NHK6</v>
      </c>
      <c r="E97" s="4" t="s">
        <v>101</v>
      </c>
      <c r="F97" s="16">
        <v>43</v>
      </c>
    </row>
    <row r="98" spans="1:6" ht="18.75" x14ac:dyDescent="0.25">
      <c r="A98" s="14" t="s">
        <v>82</v>
      </c>
      <c r="B98" s="4">
        <v>1</v>
      </c>
      <c r="C98" s="5">
        <v>4</v>
      </c>
      <c r="D98" s="4" t="str">
        <f>VLOOKUP(A98,List2!$B$2:$C$115,2,0)</f>
        <v>NHK7</v>
      </c>
      <c r="E98" s="4" t="s">
        <v>101</v>
      </c>
      <c r="F98" s="16">
        <v>3</v>
      </c>
    </row>
    <row r="99" spans="1:6" ht="18.75" x14ac:dyDescent="0.25">
      <c r="A99" s="14" t="s">
        <v>83</v>
      </c>
      <c r="B99" s="4">
        <v>1</v>
      </c>
      <c r="C99" s="5">
        <v>4</v>
      </c>
      <c r="D99" s="4" t="str">
        <f>VLOOKUP(A99,List2!$B$2:$C$115,2,0)</f>
        <v>NHK7</v>
      </c>
      <c r="E99" s="4" t="s">
        <v>101</v>
      </c>
      <c r="F99" s="16">
        <v>4</v>
      </c>
    </row>
    <row r="100" spans="1:6" ht="18.75" x14ac:dyDescent="0.25">
      <c r="A100" s="14" t="s">
        <v>84</v>
      </c>
      <c r="B100" s="4">
        <v>1</v>
      </c>
      <c r="C100" s="5">
        <v>4</v>
      </c>
      <c r="D100" s="4" t="str">
        <f>VLOOKUP(A100,List2!$B$2:$C$115,2,0)</f>
        <v>NHK7</v>
      </c>
      <c r="E100" s="4" t="s">
        <v>101</v>
      </c>
      <c r="F100" s="16">
        <v>4</v>
      </c>
    </row>
    <row r="101" spans="1:6" ht="18.75" x14ac:dyDescent="0.25">
      <c r="A101" s="14" t="s">
        <v>85</v>
      </c>
      <c r="B101" s="4">
        <v>2</v>
      </c>
      <c r="C101" s="5">
        <v>4</v>
      </c>
      <c r="D101" s="4" t="str">
        <f>VLOOKUP(A101,List2!$B$2:$C$115,2,0)</f>
        <v>NHK7</v>
      </c>
      <c r="E101" s="4" t="s">
        <v>101</v>
      </c>
      <c r="F101" s="16">
        <v>4</v>
      </c>
    </row>
    <row r="102" spans="1:6" ht="18.75" x14ac:dyDescent="0.25">
      <c r="A102" s="14" t="s">
        <v>41</v>
      </c>
      <c r="B102" s="4">
        <v>2</v>
      </c>
      <c r="C102" s="5">
        <v>4</v>
      </c>
      <c r="D102" s="4" t="str">
        <f>VLOOKUP(A102,List2!$B$2:$C$115,2,0)</f>
        <v>NHK4</v>
      </c>
      <c r="E102" s="4" t="s">
        <v>101</v>
      </c>
      <c r="F102" s="16">
        <v>41</v>
      </c>
    </row>
    <row r="103" spans="1:6" ht="18.75" x14ac:dyDescent="0.25">
      <c r="A103" s="14" t="s">
        <v>42</v>
      </c>
      <c r="B103" s="4">
        <v>2</v>
      </c>
      <c r="C103" s="5">
        <v>4</v>
      </c>
      <c r="D103" s="4" t="str">
        <f>VLOOKUP(A103,List2!$B$2:$C$115,2,0)</f>
        <v>NHK4</v>
      </c>
      <c r="E103" s="4" t="s">
        <v>101</v>
      </c>
      <c r="F103" s="16">
        <v>42</v>
      </c>
    </row>
    <row r="104" spans="1:6" ht="18.75" x14ac:dyDescent="0.25">
      <c r="A104" s="14" t="s">
        <v>43</v>
      </c>
      <c r="B104" s="4">
        <v>4</v>
      </c>
      <c r="C104" s="5">
        <v>4</v>
      </c>
      <c r="D104" s="4" t="str">
        <f>VLOOKUP(A104,List2!$B$2:$C$115,2,0)</f>
        <v>NHK4</v>
      </c>
      <c r="E104" s="4" t="s">
        <v>101</v>
      </c>
      <c r="F104" s="16" t="s">
        <v>118</v>
      </c>
    </row>
    <row r="105" spans="1:6" ht="18.75" x14ac:dyDescent="0.25">
      <c r="A105" s="14" t="s">
        <v>86</v>
      </c>
      <c r="B105" s="4">
        <v>1</v>
      </c>
      <c r="C105" s="5">
        <v>4</v>
      </c>
      <c r="D105" s="4" t="str">
        <f>VLOOKUP(A105,List2!$B$2:$C$115,2,0)</f>
        <v>NHK4</v>
      </c>
      <c r="E105" s="4" t="s">
        <v>101</v>
      </c>
      <c r="F105" s="16">
        <v>43</v>
      </c>
    </row>
    <row r="106" spans="1:6" ht="18.75" x14ac:dyDescent="0.25">
      <c r="A106" s="14" t="s">
        <v>87</v>
      </c>
      <c r="B106" s="4">
        <v>1</v>
      </c>
      <c r="C106" s="5">
        <v>4</v>
      </c>
      <c r="D106" s="4" t="str">
        <f>VLOOKUP(A106,List2!$B$2:$C$115,2,0)</f>
        <v>NHK4</v>
      </c>
      <c r="E106" s="4" t="s">
        <v>101</v>
      </c>
      <c r="F106" s="16">
        <v>43</v>
      </c>
    </row>
    <row r="107" spans="1:6" ht="18.75" x14ac:dyDescent="0.25">
      <c r="A107" s="14" t="s">
        <v>88</v>
      </c>
      <c r="B107" s="4">
        <v>2</v>
      </c>
      <c r="C107" s="5">
        <v>4</v>
      </c>
      <c r="D107" s="4" t="str">
        <f>VLOOKUP(A107,List2!$B$2:$C$115,2,0)</f>
        <v>NHK4</v>
      </c>
      <c r="E107" s="4" t="s">
        <v>101</v>
      </c>
      <c r="F107" s="16">
        <v>43</v>
      </c>
    </row>
    <row r="108" spans="1:6" ht="19.5" thickBot="1" x14ac:dyDescent="0.3">
      <c r="A108" s="17" t="s">
        <v>89</v>
      </c>
      <c r="B108" s="18">
        <v>1</v>
      </c>
      <c r="C108" s="19">
        <v>4</v>
      </c>
      <c r="D108" s="18" t="str">
        <f>VLOOKUP(A108,List2!$B$2:$C$115,2,0)</f>
        <v>NHK5</v>
      </c>
      <c r="E108" s="18" t="s">
        <v>101</v>
      </c>
      <c r="F108" s="20">
        <v>37</v>
      </c>
    </row>
  </sheetData>
  <phoneticPr fontId="3" type="noConversion"/>
  <conditionalFormatting sqref="C2:C108">
    <cfRule type="cellIs" dxfId="10" priority="1" operator="equal">
      <formula>5</formula>
    </cfRule>
    <cfRule type="cellIs" dxfId="9" priority="2" operator="equal">
      <formula>4</formula>
    </cfRule>
    <cfRule type="cellIs" dxfId="8" priority="3" operator="equal">
      <formula>3</formula>
    </cfRule>
    <cfRule type="cellIs" dxfId="7" priority="4" operator="equal">
      <formula>2</formula>
    </cfRule>
    <cfRule type="cellIs" dxfId="6" priority="5" operator="equal">
      <formula>1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2DCC-99AB-4470-B862-F7CD44C9AAE7}">
  <sheetPr codeName="List2"/>
  <dimension ref="B1:C99"/>
  <sheetViews>
    <sheetView workbookViewId="0">
      <selection activeCell="F1" sqref="F1:H99"/>
    </sheetView>
  </sheetViews>
  <sheetFormatPr defaultRowHeight="15" x14ac:dyDescent="0.25"/>
  <cols>
    <col min="1" max="1" width="11.42578125" customWidth="1"/>
    <col min="2" max="2" width="14.5703125" bestFit="1" customWidth="1"/>
    <col min="7" max="7" width="20.7109375" bestFit="1" customWidth="1"/>
  </cols>
  <sheetData>
    <row r="1" spans="2:3" ht="15.75" thickBot="1" x14ac:dyDescent="0.3"/>
    <row r="2" spans="2:3" ht="15.75" thickBot="1" x14ac:dyDescent="0.3">
      <c r="B2" s="3" t="s">
        <v>6</v>
      </c>
      <c r="C2" t="s">
        <v>90</v>
      </c>
    </row>
    <row r="3" spans="2:3" ht="15.75" thickBot="1" x14ac:dyDescent="0.3">
      <c r="B3" s="3" t="s">
        <v>8</v>
      </c>
      <c r="C3" t="s">
        <v>90</v>
      </c>
    </row>
    <row r="4" spans="2:3" ht="15.75" thickBot="1" x14ac:dyDescent="0.3">
      <c r="B4" s="3" t="s">
        <v>7</v>
      </c>
      <c r="C4" t="s">
        <v>90</v>
      </c>
    </row>
    <row r="5" spans="2:3" ht="15.75" thickBot="1" x14ac:dyDescent="0.3">
      <c r="B5" s="3" t="s">
        <v>74</v>
      </c>
      <c r="C5" t="s">
        <v>90</v>
      </c>
    </row>
    <row r="6" spans="2:3" ht="15.75" thickBot="1" x14ac:dyDescent="0.3">
      <c r="B6" s="3" t="s">
        <v>71</v>
      </c>
      <c r="C6" t="s">
        <v>90</v>
      </c>
    </row>
    <row r="7" spans="2:3" ht="15.75" thickBot="1" x14ac:dyDescent="0.3">
      <c r="B7" s="3" t="s">
        <v>5</v>
      </c>
      <c r="C7" t="s">
        <v>90</v>
      </c>
    </row>
    <row r="8" spans="2:3" ht="15.75" thickBot="1" x14ac:dyDescent="0.3">
      <c r="B8" t="s">
        <v>100</v>
      </c>
    </row>
    <row r="9" spans="2:3" ht="15.75" thickBot="1" x14ac:dyDescent="0.3">
      <c r="B9" s="3" t="s">
        <v>64</v>
      </c>
      <c r="C9" t="s">
        <v>91</v>
      </c>
    </row>
    <row r="10" spans="2:3" ht="15.75" thickBot="1" x14ac:dyDescent="0.3">
      <c r="B10" s="3" t="s">
        <v>62</v>
      </c>
      <c r="C10" t="s">
        <v>91</v>
      </c>
    </row>
    <row r="11" spans="2:3" ht="15.75" thickBot="1" x14ac:dyDescent="0.3">
      <c r="B11" s="3" t="s">
        <v>63</v>
      </c>
      <c r="C11" t="s">
        <v>91</v>
      </c>
    </row>
    <row r="12" spans="2:3" ht="15.75" thickBot="1" x14ac:dyDescent="0.3">
      <c r="B12" s="3" t="s">
        <v>76</v>
      </c>
      <c r="C12" t="s">
        <v>91</v>
      </c>
    </row>
    <row r="13" spans="2:3" ht="15.75" thickBot="1" x14ac:dyDescent="0.3">
      <c r="B13" s="3" t="s">
        <v>13</v>
      </c>
      <c r="C13" t="s">
        <v>91</v>
      </c>
    </row>
    <row r="14" spans="2:3" ht="15.75" thickBot="1" x14ac:dyDescent="0.3">
      <c r="B14" s="3" t="s">
        <v>77</v>
      </c>
      <c r="C14" t="s">
        <v>91</v>
      </c>
    </row>
    <row r="15" spans="2:3" ht="15.75" thickBot="1" x14ac:dyDescent="0.3">
      <c r="B15" s="3" t="s">
        <v>12</v>
      </c>
      <c r="C15" t="s">
        <v>91</v>
      </c>
    </row>
    <row r="16" spans="2:3" ht="15.75" thickBot="1" x14ac:dyDescent="0.3">
      <c r="B16" s="3" t="s">
        <v>10</v>
      </c>
      <c r="C16" t="s">
        <v>91</v>
      </c>
    </row>
    <row r="17" spans="2:3" ht="15.75" thickBot="1" x14ac:dyDescent="0.3">
      <c r="B17" s="3" t="s">
        <v>78</v>
      </c>
      <c r="C17" t="s">
        <v>91</v>
      </c>
    </row>
    <row r="18" spans="2:3" ht="15.75" thickBot="1" x14ac:dyDescent="0.3">
      <c r="B18" s="3" t="s">
        <v>11</v>
      </c>
      <c r="C18" t="s">
        <v>91</v>
      </c>
    </row>
    <row r="19" spans="2:3" ht="15.75" thickBot="1" x14ac:dyDescent="0.3">
      <c r="B19" s="3" t="s">
        <v>79</v>
      </c>
      <c r="C19" t="s">
        <v>91</v>
      </c>
    </row>
    <row r="20" spans="2:3" ht="15.75" thickBot="1" x14ac:dyDescent="0.3">
      <c r="B20" t="s">
        <v>100</v>
      </c>
    </row>
    <row r="21" spans="2:3" ht="15.75" thickBot="1" x14ac:dyDescent="0.3">
      <c r="B21" s="3" t="s">
        <v>73</v>
      </c>
      <c r="C21" t="s">
        <v>92</v>
      </c>
    </row>
    <row r="22" spans="2:3" ht="15.75" thickBot="1" x14ac:dyDescent="0.3">
      <c r="B22" s="3" t="s">
        <v>75</v>
      </c>
      <c r="C22" t="s">
        <v>92</v>
      </c>
    </row>
    <row r="23" spans="2:3" ht="15.75" thickBot="1" x14ac:dyDescent="0.3">
      <c r="B23" s="3" t="s">
        <v>4</v>
      </c>
      <c r="C23" t="s">
        <v>92</v>
      </c>
    </row>
    <row r="24" spans="2:3" ht="15.75" thickBot="1" x14ac:dyDescent="0.3">
      <c r="B24" s="3" t="s">
        <v>9</v>
      </c>
      <c r="C24" t="s">
        <v>92</v>
      </c>
    </row>
    <row r="25" spans="2:3" ht="15.75" thickBot="1" x14ac:dyDescent="0.3">
      <c r="B25" s="3" t="s">
        <v>3</v>
      </c>
      <c r="C25" t="s">
        <v>92</v>
      </c>
    </row>
    <row r="26" spans="2:3" ht="15.75" thickBot="1" x14ac:dyDescent="0.3">
      <c r="B26" s="3" t="s">
        <v>72</v>
      </c>
      <c r="C26" t="s">
        <v>92</v>
      </c>
    </row>
    <row r="27" spans="2:3" x14ac:dyDescent="0.25">
      <c r="B27" t="s">
        <v>100</v>
      </c>
    </row>
    <row r="28" spans="2:3" x14ac:dyDescent="0.25">
      <c r="B28" t="s">
        <v>100</v>
      </c>
    </row>
    <row r="29" spans="2:3" ht="15.75" thickBot="1" x14ac:dyDescent="0.3">
      <c r="B29" t="s">
        <v>100</v>
      </c>
    </row>
    <row r="30" spans="2:3" ht="15.75" thickBot="1" x14ac:dyDescent="0.3">
      <c r="B30" s="3" t="s">
        <v>40</v>
      </c>
      <c r="C30" s="2" t="s">
        <v>93</v>
      </c>
    </row>
    <row r="31" spans="2:3" ht="15.75" thickBot="1" x14ac:dyDescent="0.3">
      <c r="B31" s="3" t="s">
        <v>41</v>
      </c>
      <c r="C31" s="2" t="s">
        <v>93</v>
      </c>
    </row>
    <row r="32" spans="2:3" ht="15.75" thickBot="1" x14ac:dyDescent="0.3">
      <c r="B32" s="3" t="s">
        <v>43</v>
      </c>
      <c r="C32" s="2" t="s">
        <v>93</v>
      </c>
    </row>
    <row r="33" spans="2:3" ht="15.75" thickBot="1" x14ac:dyDescent="0.3">
      <c r="B33" s="3" t="s">
        <v>42</v>
      </c>
      <c r="C33" s="2" t="s">
        <v>93</v>
      </c>
    </row>
    <row r="34" spans="2:3" ht="15.75" thickBot="1" x14ac:dyDescent="0.3">
      <c r="B34" s="3" t="s">
        <v>86</v>
      </c>
      <c r="C34" s="2" t="s">
        <v>93</v>
      </c>
    </row>
    <row r="35" spans="2:3" ht="15.75" thickBot="1" x14ac:dyDescent="0.3">
      <c r="B35" s="3" t="s">
        <v>88</v>
      </c>
      <c r="C35" s="2" t="s">
        <v>93</v>
      </c>
    </row>
    <row r="36" spans="2:3" ht="15.75" thickBot="1" x14ac:dyDescent="0.3">
      <c r="B36" s="3" t="s">
        <v>87</v>
      </c>
      <c r="C36" s="2" t="s">
        <v>93</v>
      </c>
    </row>
    <row r="37" spans="2:3" ht="15.75" thickBot="1" x14ac:dyDescent="0.3">
      <c r="B37" s="3" t="s">
        <v>44</v>
      </c>
      <c r="C37" s="2" t="s">
        <v>93</v>
      </c>
    </row>
    <row r="38" spans="2:3" ht="15.75" thickBot="1" x14ac:dyDescent="0.3">
      <c r="B38" s="3" t="s">
        <v>46</v>
      </c>
      <c r="C38" s="2" t="s">
        <v>93</v>
      </c>
    </row>
    <row r="39" spans="2:3" ht="15.75" thickBot="1" x14ac:dyDescent="0.3">
      <c r="B39" s="3" t="s">
        <v>50</v>
      </c>
      <c r="C39" s="2" t="s">
        <v>93</v>
      </c>
    </row>
    <row r="40" spans="2:3" ht="15.75" thickBot="1" x14ac:dyDescent="0.3">
      <c r="B40" s="3" t="s">
        <v>48</v>
      </c>
      <c r="C40" s="2" t="s">
        <v>93</v>
      </c>
    </row>
    <row r="41" spans="2:3" ht="15.75" thickBot="1" x14ac:dyDescent="0.3">
      <c r="B41" t="s">
        <v>100</v>
      </c>
    </row>
    <row r="42" spans="2:3" ht="15.75" thickBot="1" x14ac:dyDescent="0.3">
      <c r="B42" s="3" t="s">
        <v>21</v>
      </c>
      <c r="C42" s="2" t="s">
        <v>94</v>
      </c>
    </row>
    <row r="43" spans="2:3" ht="15.75" thickBot="1" x14ac:dyDescent="0.3">
      <c r="B43" s="3" t="s">
        <v>20</v>
      </c>
      <c r="C43" s="2" t="s">
        <v>94</v>
      </c>
    </row>
    <row r="44" spans="2:3" ht="15.75" thickBot="1" x14ac:dyDescent="0.3">
      <c r="B44" s="3" t="s">
        <v>22</v>
      </c>
      <c r="C44" s="2" t="s">
        <v>94</v>
      </c>
    </row>
    <row r="45" spans="2:3" ht="15.75" thickBot="1" x14ac:dyDescent="0.3">
      <c r="B45" s="3" t="s">
        <v>23</v>
      </c>
      <c r="C45" s="2" t="s">
        <v>94</v>
      </c>
    </row>
    <row r="46" spans="2:3" ht="15.75" thickBot="1" x14ac:dyDescent="0.3">
      <c r="B46" s="3" t="s">
        <v>45</v>
      </c>
      <c r="C46" s="2" t="s">
        <v>94</v>
      </c>
    </row>
    <row r="47" spans="2:3" ht="15.75" thickBot="1" x14ac:dyDescent="0.3">
      <c r="B47" s="3" t="s">
        <v>89</v>
      </c>
      <c r="C47" s="2" t="s">
        <v>94</v>
      </c>
    </row>
    <row r="48" spans="2:3" ht="15.75" thickBot="1" x14ac:dyDescent="0.3">
      <c r="B48" s="3" t="s">
        <v>47</v>
      </c>
      <c r="C48" s="2" t="s">
        <v>94</v>
      </c>
    </row>
    <row r="49" spans="2:3" ht="15.75" thickBot="1" x14ac:dyDescent="0.3">
      <c r="B49" s="3" t="s">
        <v>51</v>
      </c>
      <c r="C49" s="2" t="s">
        <v>94</v>
      </c>
    </row>
    <row r="50" spans="2:3" ht="15.75" thickBot="1" x14ac:dyDescent="0.3">
      <c r="B50" s="3" t="s">
        <v>49</v>
      </c>
      <c r="C50" s="2" t="s">
        <v>94</v>
      </c>
    </row>
    <row r="51" spans="2:3" ht="15.75" thickBot="1" x14ac:dyDescent="0.3">
      <c r="B51" t="s">
        <v>100</v>
      </c>
    </row>
    <row r="52" spans="2:3" ht="15.75" thickBot="1" x14ac:dyDescent="0.3">
      <c r="B52" s="3" t="s">
        <v>27</v>
      </c>
      <c r="C52" s="2" t="s">
        <v>95</v>
      </c>
    </row>
    <row r="53" spans="2:3" ht="15.75" thickBot="1" x14ac:dyDescent="0.3">
      <c r="B53" s="3" t="s">
        <v>30</v>
      </c>
      <c r="C53" s="2" t="s">
        <v>95</v>
      </c>
    </row>
    <row r="54" spans="2:3" ht="15.75" thickBot="1" x14ac:dyDescent="0.3">
      <c r="B54" s="3" t="s">
        <v>36</v>
      </c>
      <c r="C54" s="2" t="s">
        <v>95</v>
      </c>
    </row>
    <row r="55" spans="2:3" ht="15.75" thickBot="1" x14ac:dyDescent="0.3">
      <c r="B55" s="3" t="s">
        <v>39</v>
      </c>
      <c r="C55" s="2" t="s">
        <v>95</v>
      </c>
    </row>
    <row r="56" spans="2:3" ht="15.75" thickBot="1" x14ac:dyDescent="0.3">
      <c r="B56" s="3" t="s">
        <v>33</v>
      </c>
      <c r="C56" s="2" t="s">
        <v>95</v>
      </c>
    </row>
    <row r="57" spans="2:3" ht="15.75" thickBot="1" x14ac:dyDescent="0.3">
      <c r="B57" s="3" t="s">
        <v>25</v>
      </c>
      <c r="C57" s="2" t="s">
        <v>95</v>
      </c>
    </row>
    <row r="58" spans="2:3" ht="15.75" thickBot="1" x14ac:dyDescent="0.3">
      <c r="B58" s="3" t="s">
        <v>26</v>
      </c>
      <c r="C58" s="2" t="s">
        <v>95</v>
      </c>
    </row>
    <row r="59" spans="2:3" ht="15.75" thickBot="1" x14ac:dyDescent="0.3">
      <c r="B59" s="3" t="s">
        <v>29</v>
      </c>
      <c r="C59" s="2" t="s">
        <v>95</v>
      </c>
    </row>
    <row r="60" spans="2:3" ht="15.75" thickBot="1" x14ac:dyDescent="0.3">
      <c r="B60" s="3" t="s">
        <v>35</v>
      </c>
      <c r="C60" s="2" t="s">
        <v>95</v>
      </c>
    </row>
    <row r="61" spans="2:3" ht="15.75" thickBot="1" x14ac:dyDescent="0.3">
      <c r="B61" s="3" t="s">
        <v>38</v>
      </c>
      <c r="C61" s="2" t="s">
        <v>95</v>
      </c>
    </row>
    <row r="62" spans="2:3" ht="15.75" thickBot="1" x14ac:dyDescent="0.3">
      <c r="B62" s="3" t="s">
        <v>32</v>
      </c>
      <c r="C62" s="2" t="s">
        <v>95</v>
      </c>
    </row>
    <row r="63" spans="2:3" ht="15.75" thickBot="1" x14ac:dyDescent="0.3">
      <c r="B63" s="3" t="s">
        <v>52</v>
      </c>
      <c r="C63" s="2" t="s">
        <v>96</v>
      </c>
    </row>
    <row r="64" spans="2:3" ht="15.75" thickBot="1" x14ac:dyDescent="0.3">
      <c r="B64" s="3" t="s">
        <v>58</v>
      </c>
      <c r="C64" s="2" t="s">
        <v>96</v>
      </c>
    </row>
    <row r="65" spans="2:3" ht="15.75" thickBot="1" x14ac:dyDescent="0.3">
      <c r="B65" s="3" t="s">
        <v>67</v>
      </c>
      <c r="C65" s="2" t="s">
        <v>96</v>
      </c>
    </row>
    <row r="66" spans="2:3" ht="15.75" thickBot="1" x14ac:dyDescent="0.3">
      <c r="B66" s="3" t="s">
        <v>69</v>
      </c>
      <c r="C66" s="2" t="s">
        <v>96</v>
      </c>
    </row>
    <row r="67" spans="2:3" ht="15.75" thickBot="1" x14ac:dyDescent="0.3">
      <c r="B67" s="3" t="s">
        <v>60</v>
      </c>
      <c r="C67" s="2" t="s">
        <v>96</v>
      </c>
    </row>
    <row r="68" spans="2:3" ht="15.75" thickBot="1" x14ac:dyDescent="0.3">
      <c r="B68" s="3" t="s">
        <v>83</v>
      </c>
      <c r="C68" s="2" t="s">
        <v>96</v>
      </c>
    </row>
    <row r="69" spans="2:3" ht="15.75" thickBot="1" x14ac:dyDescent="0.3">
      <c r="B69" s="3" t="s">
        <v>85</v>
      </c>
      <c r="C69" s="2" t="s">
        <v>96</v>
      </c>
    </row>
    <row r="70" spans="2:3" ht="15.75" thickBot="1" x14ac:dyDescent="0.3">
      <c r="B70" s="3" t="s">
        <v>84</v>
      </c>
      <c r="C70" s="2" t="s">
        <v>96</v>
      </c>
    </row>
    <row r="71" spans="2:3" ht="15.75" thickBot="1" x14ac:dyDescent="0.3">
      <c r="B71" s="3" t="s">
        <v>53</v>
      </c>
      <c r="C71" s="2" t="s">
        <v>96</v>
      </c>
    </row>
    <row r="72" spans="2:3" ht="15.75" thickBot="1" x14ac:dyDescent="0.3">
      <c r="B72" s="3" t="s">
        <v>57</v>
      </c>
      <c r="C72" s="2" t="s">
        <v>96</v>
      </c>
    </row>
    <row r="73" spans="2:3" ht="15.75" thickBot="1" x14ac:dyDescent="0.3">
      <c r="B73" s="3" t="s">
        <v>55</v>
      </c>
      <c r="C73" s="2" t="s">
        <v>96</v>
      </c>
    </row>
    <row r="74" spans="2:3" ht="15.75" thickBot="1" x14ac:dyDescent="0.3">
      <c r="B74" s="3" t="s">
        <v>54</v>
      </c>
      <c r="C74" s="2" t="s">
        <v>96</v>
      </c>
    </row>
    <row r="75" spans="2:3" ht="15.75" thickBot="1" x14ac:dyDescent="0.3">
      <c r="B75" s="3" t="s">
        <v>59</v>
      </c>
      <c r="C75" s="2" t="s">
        <v>96</v>
      </c>
    </row>
    <row r="76" spans="2:3" ht="15.75" thickBot="1" x14ac:dyDescent="0.3">
      <c r="B76" s="3" t="s">
        <v>68</v>
      </c>
      <c r="C76" s="2" t="s">
        <v>96</v>
      </c>
    </row>
    <row r="77" spans="2:3" ht="15.75" thickBot="1" x14ac:dyDescent="0.3">
      <c r="B77" s="3" t="s">
        <v>56</v>
      </c>
      <c r="C77" s="2" t="s">
        <v>96</v>
      </c>
    </row>
    <row r="78" spans="2:3" ht="15.75" thickBot="1" x14ac:dyDescent="0.3">
      <c r="B78" s="3" t="s">
        <v>70</v>
      </c>
      <c r="C78" s="2" t="s">
        <v>96</v>
      </c>
    </row>
    <row r="79" spans="2:3" ht="15.75" thickBot="1" x14ac:dyDescent="0.3">
      <c r="B79" s="3" t="s">
        <v>61</v>
      </c>
      <c r="C79" s="2" t="s">
        <v>96</v>
      </c>
    </row>
    <row r="80" spans="2:3" ht="15.75" thickBot="1" x14ac:dyDescent="0.3">
      <c r="B80" s="3" t="s">
        <v>65</v>
      </c>
      <c r="C80" s="2" t="s">
        <v>96</v>
      </c>
    </row>
    <row r="81" spans="2:3" ht="15.75" thickBot="1" x14ac:dyDescent="0.3">
      <c r="B81" s="3" t="s">
        <v>66</v>
      </c>
      <c r="C81" s="2" t="s">
        <v>96</v>
      </c>
    </row>
    <row r="82" spans="2:3" ht="15.75" thickBot="1" x14ac:dyDescent="0.3">
      <c r="B82" s="3" t="s">
        <v>17</v>
      </c>
      <c r="C82" s="2" t="s">
        <v>96</v>
      </c>
    </row>
    <row r="83" spans="2:3" ht="15.75" thickBot="1" x14ac:dyDescent="0.3">
      <c r="B83" s="3" t="s">
        <v>18</v>
      </c>
      <c r="C83" s="2" t="s">
        <v>96</v>
      </c>
    </row>
    <row r="84" spans="2:3" ht="15.75" thickBot="1" x14ac:dyDescent="0.3">
      <c r="B84" s="3" t="s">
        <v>82</v>
      </c>
      <c r="C84" s="2" t="s">
        <v>96</v>
      </c>
    </row>
    <row r="85" spans="2:3" ht="15.75" thickBot="1" x14ac:dyDescent="0.3">
      <c r="B85" s="3" t="s">
        <v>15</v>
      </c>
      <c r="C85" s="2" t="s">
        <v>96</v>
      </c>
    </row>
    <row r="86" spans="2:3" ht="15.75" thickBot="1" x14ac:dyDescent="0.3">
      <c r="B86" s="3" t="s">
        <v>80</v>
      </c>
      <c r="C86" s="2" t="s">
        <v>96</v>
      </c>
    </row>
    <row r="87" spans="2:3" ht="15.75" thickBot="1" x14ac:dyDescent="0.3">
      <c r="B87" s="3" t="s">
        <v>16</v>
      </c>
      <c r="C87" s="2" t="s">
        <v>96</v>
      </c>
    </row>
    <row r="88" spans="2:3" ht="15.75" thickBot="1" x14ac:dyDescent="0.3">
      <c r="B88" s="3" t="s">
        <v>81</v>
      </c>
      <c r="C88" s="2" t="s">
        <v>96</v>
      </c>
    </row>
    <row r="89" spans="2:3" ht="15.75" thickBot="1" x14ac:dyDescent="0.3">
      <c r="B89" s="3" t="s">
        <v>24</v>
      </c>
      <c r="C89" s="2" t="s">
        <v>96</v>
      </c>
    </row>
    <row r="90" spans="2:3" ht="15.75" thickBot="1" x14ac:dyDescent="0.3">
      <c r="B90" s="3" t="s">
        <v>28</v>
      </c>
      <c r="C90" s="2" t="s">
        <v>96</v>
      </c>
    </row>
    <row r="91" spans="2:3" ht="15.75" thickBot="1" x14ac:dyDescent="0.3">
      <c r="B91" s="3" t="s">
        <v>34</v>
      </c>
      <c r="C91" s="2" t="s">
        <v>96</v>
      </c>
    </row>
    <row r="92" spans="2:3" ht="15.75" thickBot="1" x14ac:dyDescent="0.3">
      <c r="B92" s="3" t="s">
        <v>37</v>
      </c>
      <c r="C92" s="2" t="s">
        <v>96</v>
      </c>
    </row>
    <row r="93" spans="2:3" ht="15.75" thickBot="1" x14ac:dyDescent="0.3">
      <c r="B93" s="3" t="s">
        <v>31</v>
      </c>
      <c r="C93" s="2" t="s">
        <v>96</v>
      </c>
    </row>
    <row r="94" spans="2:3" ht="15.75" thickBot="1" x14ac:dyDescent="0.3">
      <c r="B94" t="s">
        <v>100</v>
      </c>
    </row>
    <row r="95" spans="2:3" ht="15.75" thickBot="1" x14ac:dyDescent="0.3">
      <c r="B95" s="3" t="s">
        <v>14</v>
      </c>
      <c r="C95" t="s">
        <v>97</v>
      </c>
    </row>
    <row r="96" spans="2:3" ht="15.75" thickBot="1" x14ac:dyDescent="0.3">
      <c r="B96" t="s">
        <v>100</v>
      </c>
    </row>
    <row r="97" spans="2:3" ht="15.75" thickBot="1" x14ac:dyDescent="0.3">
      <c r="B97" s="3" t="s">
        <v>19</v>
      </c>
      <c r="C97" t="s">
        <v>98</v>
      </c>
    </row>
    <row r="98" spans="2:3" ht="15.75" thickBot="1" x14ac:dyDescent="0.3">
      <c r="B98" t="s">
        <v>100</v>
      </c>
    </row>
    <row r="99" spans="2:3" ht="15.75" thickBot="1" x14ac:dyDescent="0.3">
      <c r="B99" s="3" t="s">
        <v>2</v>
      </c>
      <c r="C99" t="s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Růžička</dc:creator>
  <cp:lastModifiedBy>David Růžička</cp:lastModifiedBy>
  <dcterms:created xsi:type="dcterms:W3CDTF">2026-08-11T10:55:03Z</dcterms:created>
  <dcterms:modified xsi:type="dcterms:W3CDTF">2026-08-11T12:41:54Z</dcterms:modified>
</cp:coreProperties>
</file>